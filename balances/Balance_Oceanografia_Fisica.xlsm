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1670" documentId="8_{064E12FB-7D89-4E8F-9CE5-3099933A24BA}" xr6:coauthVersionLast="47" xr6:coauthVersionMax="47" xr10:uidLastSave="{04E1B8FD-AB9F-493C-B9BB-ED6AD281E91F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Balance!$C$11:$L$71</definedName>
    <definedName name="_xlnm._FilterDatabase" localSheetId="3" hidden="1">Equivalencia!$A$1:$I$107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1" l="1" a="1"/>
  <c r="G33" i="1" s="1"/>
  <c r="F8" i="1"/>
  <c r="K33" i="1" s="1" a="1"/>
  <c r="K33" i="1" s="1"/>
  <c r="K71" i="1" l="1"/>
  <c r="K70" i="1"/>
  <c r="J73" i="1"/>
  <c r="J71" i="1"/>
  <c r="J70" i="1"/>
  <c r="H71" i="1"/>
  <c r="H70" i="1"/>
  <c r="G71" i="1"/>
  <c r="L71" i="1" s="1"/>
  <c r="G70" i="1"/>
  <c r="L70" i="1" s="1"/>
  <c r="L9" i="1" l="1"/>
  <c r="G35" i="1" s="1"/>
  <c r="K35" i="1" s="1"/>
  <c r="G69" i="1" l="1"/>
  <c r="K69" i="1" s="1"/>
  <c r="G24" i="1"/>
  <c r="K24" i="1" s="1"/>
  <c r="G37" i="1"/>
  <c r="K37" i="1" s="1"/>
  <c r="G30" i="1"/>
  <c r="K30" i="1" s="1"/>
  <c r="G19" i="1"/>
  <c r="K19" i="1" s="1"/>
  <c r="G25" i="1"/>
  <c r="K25" i="1" s="1"/>
  <c r="G67" i="1"/>
  <c r="G48" i="1"/>
  <c r="K48" i="1" s="1"/>
  <c r="G52" i="1"/>
  <c r="K52" i="1" s="1"/>
  <c r="G54" i="1"/>
  <c r="K54" i="1" s="1"/>
  <c r="G38" i="1"/>
  <c r="K38" i="1" s="1"/>
  <c r="G12" i="1"/>
  <c r="K12" i="1" s="1"/>
  <c r="G62" i="1"/>
  <c r="K62" i="1" s="1"/>
  <c r="G57" i="1"/>
  <c r="K57" i="1" s="1"/>
  <c r="G47" i="1"/>
  <c r="K47" i="1" s="1"/>
  <c r="G17" i="1"/>
  <c r="K17" i="1" s="1"/>
  <c r="G32" i="1"/>
  <c r="K32" i="1" s="1"/>
  <c r="G36" i="1"/>
  <c r="K36" i="1" s="1"/>
  <c r="G13" i="1"/>
  <c r="K13" i="1" s="1"/>
  <c r="G58" i="1"/>
  <c r="K58" i="1" s="1"/>
  <c r="G42" i="1"/>
  <c r="K42" i="1" s="1"/>
  <c r="G28" i="1"/>
  <c r="G14" i="1"/>
  <c r="K14" i="1" s="1"/>
  <c r="G53" i="1"/>
  <c r="K53" i="1" s="1"/>
  <c r="G23" i="1"/>
  <c r="K23" i="1" s="1"/>
  <c r="G66" i="1"/>
  <c r="G21" i="1"/>
  <c r="K21" i="1" s="1"/>
  <c r="G61" i="1"/>
  <c r="K61" i="1" s="1"/>
  <c r="G46" i="1"/>
  <c r="K46" i="1" s="1"/>
  <c r="G20" i="1"/>
  <c r="K20" i="1" s="1"/>
  <c r="G68" i="1"/>
  <c r="G41" i="1"/>
  <c r="K41" i="1" s="1"/>
  <c r="G65" i="1"/>
  <c r="G51" i="1"/>
  <c r="K51" i="1" s="1"/>
  <c r="G29" i="1"/>
  <c r="K29" i="1" s="1"/>
  <c r="G60" i="1"/>
  <c r="K60" i="1" s="1"/>
  <c r="G45" i="1"/>
  <c r="K45" i="1" s="1"/>
  <c r="G27" i="1"/>
  <c r="G34" i="1"/>
  <c r="K34" i="1" s="1"/>
  <c r="G50" i="1"/>
  <c r="K50" i="1" s="1"/>
  <c r="G56" i="1"/>
  <c r="G16" i="1"/>
  <c r="K16" i="1" s="1"/>
  <c r="G44" i="1"/>
  <c r="K44" i="1" s="1"/>
  <c r="G40" i="1"/>
  <c r="K40" i="1" s="1"/>
  <c r="G64" i="1"/>
  <c r="K64" i="1" s="1"/>
  <c r="G26" i="1"/>
  <c r="K26" i="1" s="1"/>
  <c r="G22" i="1"/>
  <c r="K22" i="1" s="1"/>
  <c r="G18" i="1"/>
  <c r="K18" i="1" s="1"/>
  <c r="G49" i="1"/>
  <c r="K49" i="1" s="1"/>
  <c r="G31" i="1"/>
  <c r="K31" i="1" s="1"/>
  <c r="G15" i="1"/>
  <c r="K15" i="1" s="1"/>
  <c r="G59" i="1"/>
  <c r="K59" i="1" s="1"/>
  <c r="G55" i="1"/>
  <c r="K55" i="1" s="1"/>
  <c r="G63" i="1"/>
  <c r="K63" i="1" s="1"/>
  <c r="G43" i="1"/>
  <c r="K43" i="1" s="1"/>
  <c r="G39" i="1"/>
  <c r="K39" i="1" s="1"/>
  <c r="H4" i="7"/>
  <c r="H5" i="7"/>
  <c r="H6" i="7"/>
  <c r="H7" i="7"/>
  <c r="H8" i="7"/>
  <c r="H9" i="7"/>
  <c r="H10" i="7"/>
  <c r="H11" i="7"/>
  <c r="H12" i="7"/>
  <c r="H13" i="7"/>
  <c r="K56" i="1" l="1"/>
  <c r="L56" i="1"/>
  <c r="L68" i="1"/>
  <c r="K68" i="1"/>
  <c r="L66" i="1"/>
  <c r="K66" i="1"/>
  <c r="L67" i="1"/>
  <c r="K67" i="1"/>
  <c r="H27" i="1"/>
  <c r="K27" i="1"/>
  <c r="H28" i="1"/>
  <c r="K28" i="1"/>
  <c r="L65" i="1"/>
  <c r="K65" i="1"/>
  <c r="H69" i="1"/>
  <c r="L69" i="1"/>
  <c r="H44" i="1"/>
  <c r="L44" i="1"/>
  <c r="H38" i="1"/>
  <c r="L38" i="1"/>
  <c r="H64" i="1"/>
  <c r="L64" i="1"/>
  <c r="H30" i="1"/>
  <c r="L30" i="1"/>
  <c r="H36" i="1"/>
  <c r="L36" i="1"/>
  <c r="H51" i="1"/>
  <c r="L51" i="1"/>
  <c r="H61" i="1"/>
  <c r="L61" i="1"/>
  <c r="H37" i="1"/>
  <c r="L37" i="1"/>
  <c r="H62" i="1"/>
  <c r="L62" i="1"/>
  <c r="H14" i="1"/>
  <c r="L14" i="1"/>
  <c r="H17" i="1"/>
  <c r="L17" i="1"/>
  <c r="H26" i="1"/>
  <c r="L26" i="1"/>
  <c r="H50" i="1"/>
  <c r="L50" i="1"/>
  <c r="H46" i="1"/>
  <c r="L46" i="1"/>
  <c r="H52" i="1"/>
  <c r="L52" i="1"/>
  <c r="L27" i="1"/>
  <c r="H35" i="1"/>
  <c r="L35" i="1"/>
  <c r="H47" i="1"/>
  <c r="L47" i="1"/>
  <c r="H33" i="1"/>
  <c r="L33" i="1"/>
  <c r="H58" i="1"/>
  <c r="L58" i="1"/>
  <c r="H54" i="1"/>
  <c r="L54" i="1"/>
  <c r="H24" i="1"/>
  <c r="L24" i="1"/>
  <c r="H63" i="1"/>
  <c r="L63" i="1"/>
  <c r="H15" i="1"/>
  <c r="L15" i="1"/>
  <c r="H25" i="1"/>
  <c r="L25" i="1"/>
  <c r="H40" i="1"/>
  <c r="L40" i="1"/>
  <c r="H48" i="1"/>
  <c r="L48" i="1"/>
  <c r="H43" i="1"/>
  <c r="L43" i="1"/>
  <c r="H39" i="1"/>
  <c r="L39" i="1"/>
  <c r="H49" i="1"/>
  <c r="L49" i="1"/>
  <c r="H32" i="1"/>
  <c r="L32" i="1"/>
  <c r="H57" i="1"/>
  <c r="L57" i="1"/>
  <c r="H22" i="1"/>
  <c r="L22" i="1"/>
  <c r="H41" i="1"/>
  <c r="L41" i="1"/>
  <c r="H20" i="1"/>
  <c r="L20" i="1"/>
  <c r="H67" i="1"/>
  <c r="H31" i="1"/>
  <c r="L31" i="1"/>
  <c r="H68" i="1"/>
  <c r="H16" i="1"/>
  <c r="L16" i="1"/>
  <c r="H65" i="1"/>
  <c r="H59" i="1"/>
  <c r="L59" i="1"/>
  <c r="H23" i="1"/>
  <c r="L23" i="1"/>
  <c r="H60" i="1"/>
  <c r="L60" i="1"/>
  <c r="H34" i="1"/>
  <c r="L34" i="1"/>
  <c r="H42" i="1"/>
  <c r="L42" i="1"/>
  <c r="H53" i="1"/>
  <c r="L53" i="1"/>
  <c r="H45" i="1"/>
  <c r="L45" i="1"/>
  <c r="H18" i="1"/>
  <c r="L18" i="1"/>
  <c r="H21" i="1"/>
  <c r="L21" i="1"/>
  <c r="H29" i="1"/>
  <c r="L29" i="1"/>
  <c r="H56" i="1"/>
  <c r="L28" i="1"/>
  <c r="H55" i="1"/>
  <c r="L55" i="1"/>
  <c r="H66" i="1"/>
  <c r="H13" i="1"/>
  <c r="L13" i="1"/>
  <c r="H19" i="1"/>
  <c r="L19" i="1"/>
  <c r="C5" i="7"/>
  <c r="C6" i="7"/>
  <c r="C7" i="7"/>
  <c r="C8" i="7"/>
  <c r="C9" i="7"/>
  <c r="C10" i="7"/>
  <c r="C11" i="7"/>
  <c r="C12" i="7"/>
  <c r="C13" i="7"/>
  <c r="C4" i="7"/>
  <c r="L8" i="1" l="1"/>
  <c r="L12" i="1"/>
  <c r="H12" i="1"/>
  <c r="J7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<sst xmlns="http://schemas.openxmlformats.org/spreadsheetml/2006/main" count="474" uniqueCount="335">
  <si>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</si>
  <si>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</si>
  <si>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</si>
  <si>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</si>
  <si>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</si>
  <si>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</si>
  <si>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</si>
  <si>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</si>
  <si>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</si>
  <si>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</si>
  <si>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OCEANOGRAFÍA FÍSICA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</si>
  <si>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</si>
  <si>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</si>
  <si>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</si>
  <si>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</si>
  <si>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</si>
  <si>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</si>
  <si>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</si>
  <si>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CB100</t>
  </si>
  <si>
    <t>Fundamento de Matemáticas</t>
  </si>
  <si>
    <t>CB101</t>
  </si>
  <si>
    <t>CB102</t>
  </si>
  <si>
    <t>CB103</t>
  </si>
  <si>
    <t>Calculo Vectorial (III)</t>
  </si>
  <si>
    <t>CB104</t>
  </si>
  <si>
    <t>Ecuaciones Diferenciales</t>
  </si>
  <si>
    <t>CB109</t>
  </si>
  <si>
    <t>Algebra lineal</t>
  </si>
  <si>
    <t>CB110</t>
  </si>
  <si>
    <t>Métodos Numéricos</t>
  </si>
  <si>
    <t>CB111</t>
  </si>
  <si>
    <t>Matemática Aplicada para Oceanográfos</t>
  </si>
  <si>
    <t>CB201</t>
  </si>
  <si>
    <t>Física Mecánica  y  laboratorio</t>
  </si>
  <si>
    <t>CB202</t>
  </si>
  <si>
    <t>Laboratorio Física Mecanica</t>
  </si>
  <si>
    <t>CB203</t>
  </si>
  <si>
    <t>CB204</t>
  </si>
  <si>
    <t>Laboratorio Física Calor y Ondas</t>
  </si>
  <si>
    <t>CB208</t>
  </si>
  <si>
    <t>Física Aplicada para Oceanográfos</t>
  </si>
  <si>
    <t>CB304</t>
  </si>
  <si>
    <t>Química General</t>
  </si>
  <si>
    <t>CB401</t>
  </si>
  <si>
    <t>Estadística Descriptiva</t>
  </si>
  <si>
    <t>CB402</t>
  </si>
  <si>
    <t>Estadistica Inferencial</t>
  </si>
  <si>
    <t>CB404</t>
  </si>
  <si>
    <t>Informática</t>
  </si>
  <si>
    <t>CS101</t>
  </si>
  <si>
    <t>DH-DIH y Conflictos Armados</t>
  </si>
  <si>
    <t>CS103</t>
  </si>
  <si>
    <t>Derecho del Mar y Fluvial</t>
  </si>
  <si>
    <t>CS202</t>
  </si>
  <si>
    <t>Ética Básica</t>
  </si>
  <si>
    <t>CS401</t>
  </si>
  <si>
    <t>Ética Profesional</t>
  </si>
  <si>
    <t>CS300</t>
  </si>
  <si>
    <t>Inglés por Niveles</t>
  </si>
  <si>
    <t>Investigación</t>
  </si>
  <si>
    <t>CS200</t>
  </si>
  <si>
    <t>Técnicas de Expresión Oral y Escrita</t>
  </si>
  <si>
    <t>CS711</t>
  </si>
  <si>
    <t xml:space="preserve">Investigación Formativa I </t>
  </si>
  <si>
    <t>CS712</t>
  </si>
  <si>
    <t>Investigación Formativa II</t>
  </si>
  <si>
    <t>CS713</t>
  </si>
  <si>
    <t>Investigación Formativa III</t>
  </si>
  <si>
    <t>Básico de la profesión</t>
  </si>
  <si>
    <t>AM201</t>
  </si>
  <si>
    <t>Procesos Administrativos</t>
  </si>
  <si>
    <t>AM401</t>
  </si>
  <si>
    <t>Principios de Contabilidad</t>
  </si>
  <si>
    <t>CB410</t>
  </si>
  <si>
    <t>Herramientas Computacionales para Oceanógrafos I</t>
  </si>
  <si>
    <t>CB411</t>
  </si>
  <si>
    <t>Herramientas Computacionales para Oceanógrafos II</t>
  </si>
  <si>
    <t>CB412</t>
  </si>
  <si>
    <t>Lenguaje de programación</t>
  </si>
  <si>
    <t>CN200</t>
  </si>
  <si>
    <t>Nociones de Táctica</t>
  </si>
  <si>
    <t>CN202</t>
  </si>
  <si>
    <t>Táctica Naval I</t>
  </si>
  <si>
    <t>CN204</t>
  </si>
  <si>
    <t>Táctica Naval II</t>
  </si>
  <si>
    <t>CN320</t>
  </si>
  <si>
    <t>Navegación Costera (I)</t>
  </si>
  <si>
    <t>CN324</t>
  </si>
  <si>
    <t>Navegación Astronómica (II)</t>
  </si>
  <si>
    <t>CN326</t>
  </si>
  <si>
    <t>Navegación Electrónica (III)</t>
  </si>
  <si>
    <t>IN206</t>
  </si>
  <si>
    <t>Fundamenros Estabilidad</t>
  </si>
  <si>
    <t>OF101</t>
  </si>
  <si>
    <t>Meteorología General</t>
  </si>
  <si>
    <t>OF103</t>
  </si>
  <si>
    <t>Geología Marina</t>
  </si>
  <si>
    <t>OF104</t>
  </si>
  <si>
    <t>Oceanografía Química</t>
  </si>
  <si>
    <t>OF105</t>
  </si>
  <si>
    <t>Instrumentación Oceanográfica</t>
  </si>
  <si>
    <t>OF108</t>
  </si>
  <si>
    <t>Oceanografía Física Descriptiva</t>
  </si>
  <si>
    <t>OF114</t>
  </si>
  <si>
    <t>Análisis de Datos Oceanográficos</t>
  </si>
  <si>
    <t>OF115</t>
  </si>
  <si>
    <t>Introducción a la Oceanografía</t>
  </si>
  <si>
    <t>OF202</t>
  </si>
  <si>
    <t>Hidrografía</t>
  </si>
  <si>
    <t>OF301</t>
  </si>
  <si>
    <t>Oceanografía Biológica</t>
  </si>
  <si>
    <t>OF305</t>
  </si>
  <si>
    <t>Análisis de Series de Tiempo</t>
  </si>
  <si>
    <t>Específico de la profesión</t>
  </si>
  <si>
    <t>OF106</t>
  </si>
  <si>
    <t>Meteorología Marina</t>
  </si>
  <si>
    <t>OF107</t>
  </si>
  <si>
    <t>Hidrodinámica Geofísica</t>
  </si>
  <si>
    <t>OF109</t>
  </si>
  <si>
    <t>Hidroacústica</t>
  </si>
  <si>
    <t>OF112</t>
  </si>
  <si>
    <t>Interacción Oceano atmósfera</t>
  </si>
  <si>
    <t>OF116</t>
  </si>
  <si>
    <t>Oceanografía Dinámica</t>
  </si>
  <si>
    <t>OF118</t>
  </si>
  <si>
    <t>Termodinámica para Oceanógrafo</t>
  </si>
  <si>
    <t>OF121</t>
  </si>
  <si>
    <t>Ondas Oceánicas</t>
  </si>
  <si>
    <t>OF113</t>
  </si>
  <si>
    <t>Procesos Costeros</t>
  </si>
  <si>
    <t>OF303</t>
  </si>
  <si>
    <t>Modelación Numérica</t>
  </si>
  <si>
    <t>OF315</t>
  </si>
  <si>
    <t>Seminario de Investigación en Oceanografía Física</t>
  </si>
  <si>
    <t>Electivas: 4 créditos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</si>
  <si>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</si>
  <si>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</si>
  <si>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Jefe de Programa</t>
  </si>
  <si>
    <t>Decano de Facultad</t>
  </si>
  <si>
    <t>CÓD</t>
  </si>
  <si>
    <t>ASIGNATURA</t>
  </si>
  <si>
    <t>CRÉD</t>
  </si>
  <si>
    <t>CS110</t>
  </si>
  <si>
    <t>Legislación Ambiental Marina</t>
  </si>
  <si>
    <t>OF324</t>
  </si>
  <si>
    <t>Contaminación Marina</t>
  </si>
  <si>
    <t>CÓDIGO</t>
  </si>
  <si>
    <t>Administración General</t>
  </si>
  <si>
    <t>AM229</t>
  </si>
  <si>
    <t>AM200</t>
  </si>
  <si>
    <t>AM407</t>
  </si>
  <si>
    <t>Presupuesto y Tesorería</t>
  </si>
  <si>
    <t>AM601</t>
  </si>
  <si>
    <t>Régimen Fiscal y Control Interno</t>
  </si>
  <si>
    <t>AM670</t>
  </si>
  <si>
    <t>Régimen Fiscal Y Control Interno</t>
  </si>
  <si>
    <t>AM607</t>
  </si>
  <si>
    <t>Fundamentos De Regimen Fiscal Y Control Interno</t>
  </si>
  <si>
    <t>AM701</t>
  </si>
  <si>
    <t>Logística General</t>
  </si>
  <si>
    <t>Fundamentos de Matemáticas</t>
  </si>
  <si>
    <t>Álgebra Lineal</t>
  </si>
  <si>
    <t>Matemáticas I</t>
  </si>
  <si>
    <t>CB112</t>
  </si>
  <si>
    <t>Cálculo Diferencial</t>
  </si>
  <si>
    <t>Matemáticas II</t>
  </si>
  <si>
    <t>CB113</t>
  </si>
  <si>
    <t>Cálculo Integral</t>
  </si>
  <si>
    <t>Laboratorio de Física Mecánica</t>
  </si>
  <si>
    <t>CB211</t>
  </si>
  <si>
    <t>Física Mecánica - Laboratorio</t>
  </si>
  <si>
    <t>Física Mecánica</t>
  </si>
  <si>
    <t>Estadística Inferencial</t>
  </si>
  <si>
    <t>IN422</t>
  </si>
  <si>
    <t>Herramientas computacionales</t>
  </si>
  <si>
    <t>IN421</t>
  </si>
  <si>
    <t>Estadística Descriptiva y Probabilidad</t>
  </si>
  <si>
    <t>CB405</t>
  </si>
  <si>
    <t>CN101</t>
  </si>
  <si>
    <t>Orientación Naval</t>
  </si>
  <si>
    <t>CN205</t>
  </si>
  <si>
    <t>CN220</t>
  </si>
  <si>
    <t>Operaciones Navales</t>
  </si>
  <si>
    <t>CN300</t>
  </si>
  <si>
    <t>Marinería</t>
  </si>
  <si>
    <t>11300</t>
  </si>
  <si>
    <t>CN301</t>
  </si>
  <si>
    <t>Navegación Costera</t>
  </si>
  <si>
    <t>CN310</t>
  </si>
  <si>
    <t>Comunicaciones Básicas</t>
  </si>
  <si>
    <t>CN311</t>
  </si>
  <si>
    <t>Comunicaciones Electromagnéticas</t>
  </si>
  <si>
    <t>Navegación III - Astronómica</t>
  </si>
  <si>
    <t>CN330</t>
  </si>
  <si>
    <t>Maniobras</t>
  </si>
  <si>
    <t>CN337</t>
  </si>
  <si>
    <t>Navegación Electrónica</t>
  </si>
  <si>
    <t>Navegación IV - Electrónica</t>
  </si>
  <si>
    <t>CN400</t>
  </si>
  <si>
    <t>Fundamentos de Sistema de Armas</t>
  </si>
  <si>
    <t>CN404</t>
  </si>
  <si>
    <t>Sistema de Armas Electrónicas</t>
  </si>
  <si>
    <t>CN408</t>
  </si>
  <si>
    <t>CN411</t>
  </si>
  <si>
    <t>Sistemas de Armas Sensoricas</t>
  </si>
  <si>
    <t>CN402</t>
  </si>
  <si>
    <t>Sistema De Armas II (Sensoricas)</t>
  </si>
  <si>
    <t>CN420</t>
  </si>
  <si>
    <t>Trabajo de Grado</t>
  </si>
  <si>
    <t>Derechos Humanos</t>
  </si>
  <si>
    <t>CS171</t>
  </si>
  <si>
    <t>DH y DIH - Conflictos Armados</t>
  </si>
  <si>
    <t>CS141</t>
  </si>
  <si>
    <t>Derechos Humanos y Derecho Internacional Humanitario</t>
  </si>
  <si>
    <t>CS112</t>
  </si>
  <si>
    <t>Derecho Constitucional</t>
  </si>
  <si>
    <t>CN605</t>
  </si>
  <si>
    <t>CS118</t>
  </si>
  <si>
    <t>Derecho Penal Militar</t>
  </si>
  <si>
    <t>CS119</t>
  </si>
  <si>
    <t>Procedimientos Disciplinarios y Administrativos</t>
  </si>
  <si>
    <t>CS120</t>
  </si>
  <si>
    <t>CS131</t>
  </si>
  <si>
    <t>Fundamentos de Liderazgo</t>
  </si>
  <si>
    <t>CS142</t>
  </si>
  <si>
    <t>Liderazgo Militar</t>
  </si>
  <si>
    <t>CS132</t>
  </si>
  <si>
    <t>Liderazgo Táctico</t>
  </si>
  <si>
    <t>CS205</t>
  </si>
  <si>
    <t>Historia Naval</t>
  </si>
  <si>
    <t>Inglés</t>
  </si>
  <si>
    <t>CS301</t>
  </si>
  <si>
    <t>Inglés Nivel 2</t>
  </si>
  <si>
    <t>CS302</t>
  </si>
  <si>
    <t>Inglés Nivel 3</t>
  </si>
  <si>
    <t>CS303</t>
  </si>
  <si>
    <t>Inglés Nivel 4</t>
  </si>
  <si>
    <t>CS304</t>
  </si>
  <si>
    <t>Inglés Nivel 5</t>
  </si>
  <si>
    <t>CS305</t>
  </si>
  <si>
    <t>Inglés Nivel 6</t>
  </si>
  <si>
    <t>CS306</t>
  </si>
  <si>
    <t>Inglés Nivel 7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</si>
  <si>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</si>
  <si>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</si>
  <si>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</si>
  <si>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</si>
  <si>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</si>
  <si>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</si>
  <si>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</si>
  <si>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</si>
  <si>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</si>
  <si>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</si>
  <si>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</si>
  <si>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</si>
  <si>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CS307</t>
  </si>
  <si>
    <t>Inglés Nivel 8</t>
  </si>
  <si>
    <t>CS400</t>
  </si>
  <si>
    <t>Etica Militar (etica Profesional)</t>
  </si>
  <si>
    <t>CS208</t>
  </si>
  <si>
    <t>CS203</t>
  </si>
  <si>
    <t>CS402</t>
  </si>
  <si>
    <t>Investigación Formativa I</t>
  </si>
  <si>
    <t>CS209</t>
  </si>
  <si>
    <t>Epistemología</t>
  </si>
  <si>
    <t>CS201</t>
  </si>
  <si>
    <t>Metodología de Estudio</t>
  </si>
  <si>
    <t>IM126</t>
  </si>
  <si>
    <t>Accion Integral</t>
  </si>
  <si>
    <t>IM256</t>
  </si>
  <si>
    <t>Acción Integral</t>
  </si>
  <si>
    <t>IM240</t>
  </si>
  <si>
    <t>IM144</t>
  </si>
  <si>
    <t>Operaciones Fluviales</t>
  </si>
  <si>
    <t>IM201</t>
  </si>
  <si>
    <t>IM210</t>
  </si>
  <si>
    <t>Inteligencia Militar</t>
  </si>
  <si>
    <t>IM212</t>
  </si>
  <si>
    <t>Contrainteligencia Militar</t>
  </si>
  <si>
    <t>IM235</t>
  </si>
  <si>
    <t>Armamento Im</t>
  </si>
  <si>
    <t>IM253</t>
  </si>
  <si>
    <t>Armamento IM</t>
  </si>
  <si>
    <t>IM232</t>
  </si>
  <si>
    <t>Principios de Armamento y Tiro</t>
  </si>
  <si>
    <t>IM252</t>
  </si>
  <si>
    <t>Armamento I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</si>
  <si>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</si>
  <si>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</si>
  <si>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</si>
  <si>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</si>
  <si>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</si>
  <si>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</si>
  <si>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</si>
  <si>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</si>
  <si>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IN509</t>
  </si>
  <si>
    <t>Fundamento de Motores</t>
  </si>
  <si>
    <t>IN220</t>
  </si>
  <si>
    <t>Motores</t>
  </si>
  <si>
    <t>IN201</t>
  </si>
  <si>
    <t>Fundamentos de Motores</t>
  </si>
  <si>
    <t>MF201</t>
  </si>
  <si>
    <t>Tiro Militar</t>
  </si>
  <si>
    <t>MF411</t>
  </si>
  <si>
    <t>Velas</t>
  </si>
  <si>
    <t>MF530</t>
  </si>
  <si>
    <t>Defensa Personal</t>
  </si>
  <si>
    <t>OF126</t>
  </si>
  <si>
    <t>Introducción a la Oceanografía Física</t>
  </si>
  <si>
    <t>OF102</t>
  </si>
  <si>
    <t>Oceanografía General</t>
  </si>
  <si>
    <t>OF201</t>
  </si>
  <si>
    <t>OF123</t>
  </si>
  <si>
    <t>OF310</t>
  </si>
  <si>
    <t>Introducción al Manejo Ambiental</t>
  </si>
  <si>
    <t>OF311</t>
  </si>
  <si>
    <t>Normatividad y Gestión Ambiental</t>
  </si>
  <si>
    <t>OF308</t>
  </si>
  <si>
    <t>MOF320</t>
  </si>
  <si>
    <t>Física Calor y Ondas (II)</t>
  </si>
  <si>
    <t>CB210</t>
  </si>
  <si>
    <t>Herramientas Computacionales para Oceanografos I</t>
  </si>
  <si>
    <t>OF211</t>
  </si>
  <si>
    <t>Herramientas Computacionales para Oceanografos II</t>
  </si>
  <si>
    <t>OF212</t>
  </si>
  <si>
    <t>Lenguaje de Programación</t>
  </si>
  <si>
    <t>OF312</t>
  </si>
  <si>
    <t>OF 306</t>
  </si>
  <si>
    <t>OF307</t>
  </si>
  <si>
    <t>Calculo Diferencial</t>
  </si>
  <si>
    <t xml:space="preserve">Calculo Integral </t>
  </si>
  <si>
    <t>Calculo Vectorial</t>
  </si>
  <si>
    <t>Física  Calor y Ondas II</t>
  </si>
  <si>
    <t>Sociales</t>
  </si>
  <si>
    <t>Ciencias Básicas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</si>
</sst>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u/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149998474074526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214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" fontId="8" fillId="0" borderId="2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7" xfId="0" applyFont="1" applyBorder="1" applyAlignment="1">
      <alignment horizontal="left" vertical="center"/>
    </xf>
    <xf numFmtId="1" fontId="6" fillId="0" borderId="47" xfId="0" applyNumberFormat="1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6" fillId="0" borderId="47" xfId="0" applyFont="1" applyBorder="1" applyAlignment="1">
      <alignment horizontal="left" vertical="center"/>
    </xf>
    <xf numFmtId="0" fontId="0" fillId="7" borderId="13" xfId="0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8" fillId="0" borderId="24" xfId="0" applyFont="1" applyBorder="1" applyAlignment="1">
      <alignment horizontal="center" vertical="center"/>
    </xf>
    <xf numFmtId="14" fontId="8" fillId="0" borderId="39" xfId="0" applyNumberFormat="1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1" fontId="7" fillId="2" borderId="18" xfId="0" applyNumberFormat="1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17" fillId="0" borderId="32" xfId="2" applyFont="1" applyBorder="1" applyAlignment="1">
      <alignment horizontal="center" vertical="center"/>
    </xf>
    <xf numFmtId="0" fontId="17" fillId="0" borderId="39" xfId="1" applyNumberFormat="1" applyFont="1" applyBorder="1" applyAlignment="1">
      <alignment vertical="center"/>
    </xf>
    <xf numFmtId="0" fontId="17" fillId="0" borderId="28" xfId="2" applyFont="1" applyBorder="1" applyAlignment="1">
      <alignment horizontal="center" vertical="center"/>
    </xf>
    <xf numFmtId="1" fontId="17" fillId="0" borderId="28" xfId="2" applyNumberFormat="1" applyFont="1" applyBorder="1" applyAlignment="1">
      <alignment horizontal="center" vertical="center"/>
    </xf>
    <xf numFmtId="164" fontId="17" fillId="0" borderId="28" xfId="2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0" fontId="17" fillId="0" borderId="35" xfId="2" applyFont="1" applyBorder="1" applyAlignment="1">
      <alignment horizontal="center" vertical="center"/>
    </xf>
    <xf numFmtId="0" fontId="17" fillId="0" borderId="42" xfId="1" applyNumberFormat="1" applyFont="1" applyBorder="1" applyAlignment="1">
      <alignment vertical="center"/>
    </xf>
    <xf numFmtId="0" fontId="17" fillId="0" borderId="34" xfId="2" applyFont="1" applyBorder="1" applyAlignment="1">
      <alignment horizontal="center" vertical="center"/>
    </xf>
    <xf numFmtId="1" fontId="17" fillId="0" borderId="34" xfId="2" applyNumberFormat="1" applyFont="1" applyBorder="1" applyAlignment="1">
      <alignment horizontal="center" vertical="center"/>
    </xf>
    <xf numFmtId="164" fontId="17" fillId="0" borderId="34" xfId="2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0" fontId="17" fillId="0" borderId="44" xfId="2" applyFont="1" applyBorder="1" applyAlignment="1">
      <alignment horizontal="center" vertical="center"/>
    </xf>
    <xf numFmtId="0" fontId="17" fillId="0" borderId="45" xfId="1" applyNumberFormat="1" applyFont="1" applyBorder="1" applyAlignment="1">
      <alignment vertical="center"/>
    </xf>
    <xf numFmtId="164" fontId="17" fillId="0" borderId="56" xfId="2" applyNumberFormat="1" applyFont="1" applyBorder="1" applyAlignment="1">
      <alignment horizontal="center" vertical="center"/>
    </xf>
    <xf numFmtId="164" fontId="6" fillId="0" borderId="56" xfId="0" applyNumberFormat="1" applyFont="1" applyBorder="1" applyAlignment="1">
      <alignment horizontal="center" vertical="center"/>
    </xf>
    <xf numFmtId="0" fontId="17" fillId="0" borderId="37" xfId="2" applyFont="1" applyBorder="1" applyAlignment="1">
      <alignment horizontal="center" vertical="center"/>
    </xf>
    <xf numFmtId="0" fontId="17" fillId="0" borderId="43" xfId="1" applyNumberFormat="1" applyFont="1" applyBorder="1" applyAlignment="1">
      <alignment vertical="center"/>
    </xf>
    <xf numFmtId="1" fontId="17" fillId="0" borderId="36" xfId="2" applyNumberFormat="1" applyFont="1" applyBorder="1" applyAlignment="1">
      <alignment horizontal="center" vertical="center"/>
    </xf>
    <xf numFmtId="164" fontId="17" fillId="0" borderId="36" xfId="2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0" fontId="17" fillId="0" borderId="29" xfId="2" applyFont="1" applyBorder="1" applyAlignment="1">
      <alignment horizontal="center" vertical="center"/>
    </xf>
    <xf numFmtId="1" fontId="17" fillId="0" borderId="56" xfId="2" applyNumberFormat="1" applyFont="1" applyBorder="1" applyAlignment="1">
      <alignment horizontal="center" vertical="center"/>
    </xf>
    <xf numFmtId="0" fontId="17" fillId="0" borderId="31" xfId="1" applyNumberFormat="1" applyFont="1" applyBorder="1" applyAlignment="1">
      <alignment vertical="center"/>
    </xf>
    <xf numFmtId="1" fontId="17" fillId="0" borderId="60" xfId="2" applyNumberFormat="1" applyFont="1" applyBorder="1" applyAlignment="1">
      <alignment horizontal="center" vertical="center"/>
    </xf>
    <xf numFmtId="164" fontId="17" fillId="0" borderId="60" xfId="2" applyNumberFormat="1" applyFont="1" applyBorder="1" applyAlignment="1">
      <alignment horizontal="center" vertical="center"/>
    </xf>
    <xf numFmtId="164" fontId="6" fillId="0" borderId="60" xfId="0" applyNumberFormat="1" applyFont="1" applyBorder="1" applyAlignment="1">
      <alignment horizontal="center" vertical="center"/>
    </xf>
    <xf numFmtId="0" fontId="17" fillId="0" borderId="42" xfId="1" applyNumberFormat="1" applyFont="1" applyFill="1" applyBorder="1" applyAlignment="1">
      <alignment vertical="center"/>
    </xf>
    <xf numFmtId="44" fontId="17" fillId="0" borderId="32" xfId="1" applyFont="1" applyBorder="1" applyAlignment="1">
      <alignment vertical="center"/>
    </xf>
    <xf numFmtId="44" fontId="17" fillId="0" borderId="35" xfId="1" applyFont="1" applyBorder="1" applyAlignment="1">
      <alignment vertical="center"/>
    </xf>
    <xf numFmtId="44" fontId="17" fillId="0" borderId="44" xfId="1" applyFont="1" applyBorder="1" applyAlignment="1">
      <alignment vertical="center"/>
    </xf>
    <xf numFmtId="44" fontId="17" fillId="0" borderId="37" xfId="1" applyFont="1" applyBorder="1" applyAlignment="1">
      <alignment vertical="center"/>
    </xf>
    <xf numFmtId="44" fontId="17" fillId="0" borderId="29" xfId="1" applyFont="1" applyBorder="1" applyAlignment="1">
      <alignment vertical="center"/>
    </xf>
    <xf numFmtId="44" fontId="17" fillId="0" borderId="35" xfId="1" applyFont="1" applyFill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7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7" xfId="0" applyFont="1" applyBorder="1" applyAlignment="1">
      <alignment horizontal="center" vertical="center" textRotation="90" wrapText="1"/>
    </xf>
    <xf numFmtId="15" fontId="10" fillId="0" borderId="0" xfId="0" applyNumberFormat="1" applyFont="1" applyAlignment="1">
      <alignment horizontal="left" vertical="top" wrapText="1"/>
    </xf>
    <xf numFmtId="0" fontId="11" fillId="0" borderId="53" xfId="0" applyFont="1" applyBorder="1" applyAlignment="1">
      <alignment horizontal="center" vertical="center" textRotation="90" wrapText="1"/>
    </xf>
    <xf numFmtId="0" fontId="8" fillId="0" borderId="19" xfId="0" applyFont="1" applyBorder="1" applyAlignment="1">
      <alignment horizontal="left" vertical="center"/>
    </xf>
    <xf numFmtId="0" fontId="3" fillId="0" borderId="16" xfId="0" applyFont="1" applyBorder="1" applyAlignment="1">
      <alignment vertical="center"/>
    </xf>
    <xf numFmtId="44" fontId="17" fillId="0" borderId="39" xfId="1" applyFont="1" applyBorder="1" applyAlignment="1">
      <alignment vertical="center"/>
    </xf>
    <xf numFmtId="44" fontId="17" fillId="0" borderId="42" xfId="1" applyFont="1" applyBorder="1" applyAlignment="1">
      <alignment vertical="center"/>
    </xf>
    <xf numFmtId="44" fontId="17" fillId="0" borderId="35" xfId="2" applyNumberFormat="1" applyFont="1" applyBorder="1" applyAlignment="1">
      <alignment horizontal="left" vertical="center"/>
    </xf>
    <xf numFmtId="44" fontId="18" fillId="0" borderId="42" xfId="1" applyFont="1" applyBorder="1" applyAlignment="1">
      <alignment vertical="center"/>
    </xf>
    <xf numFmtId="44" fontId="17" fillId="0" borderId="31" xfId="1" applyFont="1" applyBorder="1" applyAlignment="1">
      <alignment vertical="center"/>
    </xf>
    <xf numFmtId="44" fontId="17" fillId="0" borderId="42" xfId="1" applyFont="1" applyFill="1" applyBorder="1" applyAlignment="1">
      <alignment vertical="center"/>
    </xf>
    <xf numFmtId="44" fontId="17" fillId="0" borderId="43" xfId="1" applyFont="1" applyBorder="1" applyAlignment="1">
      <alignment vertical="center"/>
    </xf>
    <xf numFmtId="0" fontId="17" fillId="0" borderId="63" xfId="2" applyFont="1" applyBorder="1" applyAlignment="1">
      <alignment horizontal="center" vertical="center"/>
    </xf>
    <xf numFmtId="44" fontId="17" fillId="0" borderId="63" xfId="1" applyFont="1" applyBorder="1" applyAlignment="1">
      <alignment vertical="center"/>
    </xf>
    <xf numFmtId="0" fontId="17" fillId="0" borderId="64" xfId="1" applyNumberFormat="1" applyFont="1" applyBorder="1" applyAlignment="1">
      <alignment vertical="center"/>
    </xf>
    <xf numFmtId="0" fontId="17" fillId="0" borderId="65" xfId="2" applyFont="1" applyBorder="1" applyAlignment="1">
      <alignment horizontal="center" vertical="center"/>
    </xf>
    <xf numFmtId="44" fontId="17" fillId="0" borderId="64" xfId="1" applyFont="1" applyBorder="1" applyAlignment="1">
      <alignment vertical="center"/>
    </xf>
    <xf numFmtId="1" fontId="17" fillId="0" borderId="65" xfId="2" applyNumberFormat="1" applyFont="1" applyBorder="1" applyAlignment="1">
      <alignment horizontal="center" vertical="center"/>
    </xf>
    <xf numFmtId="164" fontId="17" fillId="0" borderId="65" xfId="2" applyNumberFormat="1" applyFont="1" applyBorder="1" applyAlignment="1">
      <alignment horizontal="center" vertical="center"/>
    </xf>
    <xf numFmtId="164" fontId="6" fillId="0" borderId="65" xfId="0" applyNumberFormat="1" applyFont="1" applyBorder="1" applyAlignment="1">
      <alignment horizontal="center" vertical="center"/>
    </xf>
    <xf numFmtId="0" fontId="17" fillId="0" borderId="67" xfId="2" applyFont="1" applyBorder="1" applyAlignment="1">
      <alignment horizontal="center" vertical="center"/>
    </xf>
    <xf numFmtId="44" fontId="17" fillId="0" borderId="67" xfId="1" applyFont="1" applyBorder="1" applyAlignment="1">
      <alignment vertical="center"/>
    </xf>
    <xf numFmtId="0" fontId="17" fillId="0" borderId="68" xfId="1" applyNumberFormat="1" applyFont="1" applyBorder="1" applyAlignment="1">
      <alignment vertical="center"/>
    </xf>
    <xf numFmtId="44" fontId="17" fillId="0" borderId="68" xfId="1" applyFont="1" applyBorder="1" applyAlignment="1">
      <alignment vertical="center"/>
    </xf>
    <xf numFmtId="1" fontId="17" fillId="0" borderId="69" xfId="2" applyNumberFormat="1" applyFont="1" applyBorder="1" applyAlignment="1">
      <alignment horizontal="center" vertical="center"/>
    </xf>
    <xf numFmtId="164" fontId="17" fillId="0" borderId="69" xfId="2" applyNumberFormat="1" applyFont="1" applyBorder="1" applyAlignment="1">
      <alignment horizontal="center" vertical="center"/>
    </xf>
    <xf numFmtId="164" fontId="6" fillId="0" borderId="69" xfId="0" applyNumberFormat="1" applyFont="1" applyBorder="1" applyAlignment="1">
      <alignment horizontal="center" vertical="center"/>
    </xf>
    <xf numFmtId="44" fontId="17" fillId="0" borderId="63" xfId="1" applyFont="1" applyFill="1" applyBorder="1" applyAlignment="1">
      <alignment vertical="center"/>
    </xf>
    <xf numFmtId="0" fontId="17" fillId="0" borderId="64" xfId="1" applyNumberFormat="1" applyFont="1" applyFill="1" applyBorder="1" applyAlignment="1">
      <alignment vertical="center"/>
    </xf>
    <xf numFmtId="44" fontId="17" fillId="0" borderId="64" xfId="1" applyFont="1" applyFill="1" applyBorder="1" applyAlignment="1">
      <alignment vertical="center"/>
    </xf>
    <xf numFmtId="0" fontId="9" fillId="5" borderId="18" xfId="0" applyFont="1" applyFill="1" applyBorder="1" applyAlignment="1">
      <alignment horizontal="center" vertical="center" textRotation="90" wrapText="1"/>
    </xf>
    <xf numFmtId="0" fontId="9" fillId="5" borderId="62" xfId="0" applyFont="1" applyFill="1" applyBorder="1" applyAlignment="1">
      <alignment horizontal="center" vertical="center" textRotation="90" wrapText="1"/>
    </xf>
    <xf numFmtId="0" fontId="9" fillId="5" borderId="66" xfId="0" applyFont="1" applyFill="1" applyBorder="1" applyAlignment="1">
      <alignment horizontal="center" vertical="center" textRotation="90" wrapText="1"/>
    </xf>
    <xf numFmtId="0" fontId="9" fillId="5" borderId="70" xfId="0" applyFont="1" applyFill="1" applyBorder="1" applyAlignment="1">
      <alignment horizontal="center" vertical="center" textRotation="90" wrapText="1"/>
    </xf>
    <xf numFmtId="0" fontId="9" fillId="5" borderId="55" xfId="0" applyFont="1" applyFill="1" applyBorder="1" applyAlignment="1">
      <alignment horizontal="center" vertical="center" textRotation="90" wrapText="1"/>
    </xf>
    <xf numFmtId="0" fontId="9" fillId="5" borderId="71" xfId="0" applyFont="1" applyFill="1" applyBorder="1" applyAlignment="1">
      <alignment horizontal="center" vertical="center" textRotation="90" wrapText="1"/>
    </xf>
    <xf numFmtId="0" fontId="9" fillId="5" borderId="61" xfId="0" applyFont="1" applyFill="1" applyBorder="1" applyAlignment="1">
      <alignment horizontal="center" vertical="center" textRotation="90" wrapText="1"/>
    </xf>
    <xf numFmtId="0" fontId="15" fillId="0" borderId="38" xfId="0" applyFont="1" applyBorder="1" applyAlignment="1">
      <alignment horizontal="left" vertical="center"/>
    </xf>
    <xf numFmtId="0" fontId="15" fillId="0" borderId="43" xfId="0" applyFont="1" applyBorder="1" applyAlignment="1">
      <alignment horizontal="left" vertical="center"/>
    </xf>
    <xf numFmtId="0" fontId="7" fillId="2" borderId="25" xfId="1" applyNumberFormat="1" applyFont="1" applyFill="1" applyBorder="1" applyAlignment="1">
      <alignment horizontal="left" vertical="center"/>
    </xf>
    <xf numFmtId="0" fontId="7" fillId="2" borderId="27" xfId="1" applyNumberFormat="1" applyFont="1" applyFill="1" applyBorder="1" applyAlignment="1">
      <alignment horizontal="left" vertical="center"/>
    </xf>
    <xf numFmtId="0" fontId="13" fillId="0" borderId="18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33" xfId="1" applyNumberFormat="1" applyFont="1" applyBorder="1" applyAlignment="1">
      <alignment horizontal="left" vertical="center" wrapText="1" indent="1"/>
    </xf>
    <xf numFmtId="0" fontId="19" fillId="0" borderId="19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33" xfId="0" applyFont="1" applyBorder="1" applyAlignment="1">
      <alignment horizontal="left" vertical="center"/>
    </xf>
    <xf numFmtId="0" fontId="15" fillId="0" borderId="39" xfId="0" applyFont="1" applyBorder="1" applyAlignment="1">
      <alignment horizontal="left" vertical="center"/>
    </xf>
    <xf numFmtId="0" fontId="14" fillId="0" borderId="32" xfId="1" applyNumberFormat="1" applyFont="1" applyBorder="1" applyAlignment="1">
      <alignment horizontal="left" vertical="center" indent="1"/>
    </xf>
    <xf numFmtId="0" fontId="14" fillId="0" borderId="33" xfId="1" applyNumberFormat="1" applyFont="1" applyBorder="1" applyAlignment="1">
      <alignment horizontal="left" vertical="center" indent="1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1" fillId="0" borderId="24" xfId="0" applyFont="1" applyBorder="1" applyAlignment="1">
      <alignment horizontal="center" vertical="center" textRotation="90"/>
    </xf>
    <xf numFmtId="0" fontId="14" fillId="0" borderId="23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horizontal="center" vertical="center" wrapText="1"/>
    </xf>
    <xf numFmtId="44" fontId="17" fillId="0" borderId="32" xfId="1" applyFont="1" applyBorder="1" applyAlignment="1">
      <alignment horizontal="left" vertical="center"/>
    </xf>
    <xf numFmtId="44" fontId="17" fillId="0" borderId="39" xfId="1" applyFont="1" applyBorder="1" applyAlignment="1">
      <alignment horizontal="left" vertical="center"/>
    </xf>
    <xf numFmtId="44" fontId="17" fillId="0" borderId="37" xfId="1" applyFont="1" applyBorder="1" applyAlignment="1">
      <alignment horizontal="left" vertical="center"/>
    </xf>
    <xf numFmtId="44" fontId="17" fillId="0" borderId="43" xfId="1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" fontId="7" fillId="2" borderId="32" xfId="0" applyNumberFormat="1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4" xfId="0" applyNumberFormat="1" applyFont="1" applyFill="1" applyBorder="1" applyAlignment="1">
      <alignment horizontal="center" vertical="center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3" xfId="1" applyNumberFormat="1" applyFont="1" applyFill="1" applyBorder="1" applyAlignment="1">
      <alignment horizontal="right" vertical="center" indent="1"/>
    </xf>
    <xf numFmtId="0" fontId="9" fillId="2" borderId="39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0" fillId="0" borderId="23" xfId="0" applyNumberFormat="1" applyFont="1" applyBorder="1" applyAlignment="1">
      <alignment horizontal="left" vertical="top" indent="1"/>
    </xf>
    <xf numFmtId="15" fontId="10" fillId="0" borderId="2" xfId="0" applyNumberFormat="1" applyFont="1" applyBorder="1" applyAlignment="1">
      <alignment horizontal="left" vertical="top" indent="1"/>
    </xf>
    <xf numFmtId="15" fontId="10" fillId="0" borderId="24" xfId="0" applyNumberFormat="1" applyFont="1" applyBorder="1" applyAlignment="1">
      <alignment horizontal="left" vertical="top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9" fillId="2" borderId="43" xfId="1" applyNumberFormat="1" applyFont="1" applyFill="1" applyBorder="1" applyAlignment="1">
      <alignment horizontal="right" vertical="center" indent="1"/>
    </xf>
    <xf numFmtId="0" fontId="3" fillId="0" borderId="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86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339803" y="1"/>
          <a:ext cx="906354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251043</xdr:colOff>
      <xdr:row>12</xdr:row>
      <xdr:rowOff>127462</xdr:rowOff>
    </xdr:from>
    <xdr:to>
      <xdr:col>10</xdr:col>
      <xdr:colOff>304801</xdr:colOff>
      <xdr:row>65</xdr:row>
      <xdr:rowOff>16785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2323" y="3084022"/>
          <a:ext cx="6332638" cy="97648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350520</xdr:colOff>
      <xdr:row>197</xdr:row>
      <xdr:rowOff>45720</xdr:rowOff>
    </xdr:from>
    <xdr:to>
      <xdr:col>12</xdr:col>
      <xdr:colOff>68808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87"/>
  <sheetViews>
    <sheetView showGridLines="0" showRowColHeaders="0" tabSelected="1" showRuler="0" zoomScale="114" zoomScaleNormal="115" zoomScaleSheetLayoutView="100" workbookViewId="0">
      <pane ySplit="1" topLeftCell="A2" activePane="bottomLeft" state="frozen"/>
      <selection pane="bottomLeft" activeCell="C29" sqref="C29:C33"/>
    </sheetView>
  </sheetViews>
  <sheetFormatPr baseColWidth="10" defaultColWidth="11.109375" defaultRowHeight="12" x14ac:dyDescent="0.3"/>
  <cols>
    <col min="1" max="1" width="19.44140625" style="51" customWidth="1"/>
    <col min="2" max="2" width="4.44140625" style="35" customWidth="1"/>
    <col min="3" max="3" width="4.44140625" style="103" customWidth="1"/>
    <col min="4" max="4" width="7.33203125" style="35" customWidth="1"/>
    <col min="5" max="5" width="8.6640625" style="36" customWidth="1"/>
    <col min="6" max="6" width="28.44140625" style="36" customWidth="1"/>
    <col min="7" max="7" width="7.33203125" style="35" customWidth="1"/>
    <col min="8" max="8" width="9.33203125" style="36" customWidth="1"/>
    <col min="9" max="9" width="29.6640625" style="36" customWidth="1"/>
    <col min="10" max="10" width="9.33203125" style="37" customWidth="1"/>
    <col min="11" max="12" width="9.33203125" style="35" customWidth="1"/>
    <col min="13" max="13" width="4.44140625" style="35" customWidth="1"/>
    <col min="14" max="14" width="5.44140625" style="35" customWidth="1"/>
    <col min="15" max="16384" width="11.109375" style="35"/>
  </cols>
  <sheetData>
    <row r="1" spans="2:13" ht="70.95" customHeight="1" x14ac:dyDescent="0.3"/>
    <row r="2" spans="2:13" ht="25.95" customHeight="1" x14ac:dyDescent="0.3">
      <c r="B2" s="41"/>
      <c r="C2" s="104"/>
      <c r="D2" s="38"/>
      <c r="E2" s="39"/>
      <c r="F2" s="57"/>
      <c r="G2" s="38"/>
      <c r="H2" s="39"/>
      <c r="I2" s="39"/>
      <c r="J2" s="40"/>
      <c r="K2" s="38"/>
      <c r="L2" s="38"/>
      <c r="M2" s="43"/>
    </row>
    <row r="3" spans="2:13" ht="12.45" customHeight="1" x14ac:dyDescent="0.3">
      <c r="B3" s="42"/>
      <c r="C3" s="167" t="s">
        <v>0</v>
      </c>
      <c r="D3" s="168"/>
      <c r="E3" s="151" t="s">
        <v>1</v>
      </c>
      <c r="F3" s="152"/>
      <c r="G3" s="152"/>
      <c r="H3" s="152"/>
      <c r="I3" s="153"/>
      <c r="J3" s="147" t="s">
        <v>2</v>
      </c>
      <c r="K3" s="147"/>
      <c r="L3" s="147"/>
      <c r="M3" s="44"/>
    </row>
    <row r="4" spans="2:13" ht="12.45" customHeight="1" x14ac:dyDescent="0.3">
      <c r="B4" s="42"/>
      <c r="C4" s="169"/>
      <c r="D4" s="170"/>
      <c r="E4" s="154"/>
      <c r="F4" s="155"/>
      <c r="G4" s="155"/>
      <c r="H4" s="155"/>
      <c r="I4" s="156"/>
      <c r="J4" s="148"/>
      <c r="K4" s="148"/>
      <c r="L4" s="148"/>
      <c r="M4" s="44"/>
    </row>
    <row r="5" spans="2:13" ht="12.45" customHeight="1" x14ac:dyDescent="0.3">
      <c r="B5" s="42"/>
      <c r="C5" s="169"/>
      <c r="D5" s="170"/>
      <c r="E5" s="157" t="s">
        <v>3</v>
      </c>
      <c r="F5" s="158"/>
      <c r="G5" s="158"/>
      <c r="H5" s="158"/>
      <c r="I5" s="159"/>
      <c r="J5" s="177" t="s">
        <v>4</v>
      </c>
      <c r="K5" s="178"/>
      <c r="L5" s="175" t="s">
        <v>5</v>
      </c>
      <c r="M5" s="44"/>
    </row>
    <row r="6" spans="2:13" ht="12.45" customHeight="1" x14ac:dyDescent="0.3">
      <c r="B6" s="42"/>
      <c r="C6" s="171"/>
      <c r="D6" s="172"/>
      <c r="E6" s="160" t="s">
        <v>6</v>
      </c>
      <c r="F6" s="161"/>
      <c r="G6" s="161"/>
      <c r="H6" s="161"/>
      <c r="I6" s="162"/>
      <c r="J6" s="179"/>
      <c r="K6" s="180"/>
      <c r="L6" s="176"/>
      <c r="M6" s="44"/>
    </row>
    <row r="7" spans="2:13" ht="9.4499999999999993" customHeight="1" x14ac:dyDescent="0.3">
      <c r="B7" s="42"/>
      <c r="C7" s="105"/>
      <c r="D7" s="2"/>
      <c r="E7" s="2"/>
      <c r="F7" s="2"/>
      <c r="G7" s="2"/>
      <c r="H7" s="2"/>
      <c r="I7" s="2"/>
      <c r="J7" s="25"/>
      <c r="K7" s="2"/>
      <c r="L7" s="2"/>
      <c r="M7" s="44"/>
    </row>
    <row r="8" spans="2:13" ht="17.25" customHeight="1" x14ac:dyDescent="0.3">
      <c r="B8" s="42"/>
      <c r="C8" s="165" t="s">
        <v>7</v>
      </c>
      <c r="D8" s="166"/>
      <c r="E8" s="166"/>
      <c r="F8" s="163" t="str">
        <f>Notas!B4&amp;" "&amp;Notas!B3</f>
        <v xml:space="preserve"> </v>
      </c>
      <c r="G8" s="163"/>
      <c r="H8" s="163"/>
      <c r="I8" s="164"/>
      <c r="J8" s="150" t="s">
        <v>8</v>
      </c>
      <c r="K8" s="150"/>
      <c r="L8" s="65">
        <f ca="1">TODAY()</f>
        <v>46246</v>
      </c>
      <c r="M8" s="44"/>
    </row>
    <row r="9" spans="2:13" ht="17.25" customHeight="1" x14ac:dyDescent="0.3">
      <c r="B9" s="42"/>
      <c r="C9" s="173" t="s">
        <v>9</v>
      </c>
      <c r="D9" s="174"/>
      <c r="E9" s="174"/>
      <c r="F9" s="143" t="s">
        <v>10</v>
      </c>
      <c r="G9" s="143"/>
      <c r="H9" s="143"/>
      <c r="I9" s="144"/>
      <c r="J9" s="149" t="s">
        <v>11</v>
      </c>
      <c r="K9" s="149"/>
      <c r="L9" s="64" t="str">
        <f>LEFT(Notas!A9,4)&amp;" - "&amp;IF((MID(Notas!A9,8,1))&gt;2,2,1)</f>
        <v xml:space="preserve"> - 2</v>
      </c>
      <c r="M9" s="44"/>
    </row>
    <row r="10" spans="2:13" ht="9.4499999999999993" customHeight="1" x14ac:dyDescent="0.3">
      <c r="B10" s="42"/>
      <c r="C10" s="105"/>
      <c r="D10" s="19"/>
      <c r="E10" s="21"/>
      <c r="F10" s="21"/>
      <c r="G10" s="19"/>
      <c r="H10" s="26"/>
      <c r="I10" s="21"/>
      <c r="J10" s="20"/>
      <c r="K10" s="19"/>
      <c r="L10" s="19"/>
      <c r="M10" s="44"/>
    </row>
    <row r="11" spans="2:13" ht="18" customHeight="1" x14ac:dyDescent="0.3">
      <c r="B11" s="42"/>
      <c r="C11" s="181" t="s">
        <v>12</v>
      </c>
      <c r="D11" s="182"/>
      <c r="E11" s="145" t="s">
        <v>13</v>
      </c>
      <c r="F11" s="146"/>
      <c r="G11" s="66" t="s">
        <v>12</v>
      </c>
      <c r="H11" s="145" t="s">
        <v>14</v>
      </c>
      <c r="I11" s="146"/>
      <c r="J11" s="67" t="s">
        <v>15</v>
      </c>
      <c r="K11" s="68" t="s">
        <v>16</v>
      </c>
      <c r="L11" s="68" t="s">
        <v>17</v>
      </c>
      <c r="M11" s="44"/>
    </row>
    <row r="12" spans="2:13" ht="13.2" customHeight="1" x14ac:dyDescent="0.3">
      <c r="B12" s="42"/>
      <c r="C12" s="136" t="s">
        <v>334</v>
      </c>
      <c r="D12" s="69" t="s">
        <v>18</v>
      </c>
      <c r="E12" s="97" t="s">
        <v>19</v>
      </c>
      <c r="F12" s="70"/>
      <c r="G12" s="71" t="str">
        <f>IF($F$8=" ","",IFERROR(IF($L$9="","",IFERROR(VLOOKUP(IFERROR(VLOOKUP(D12,Notas!B:B,1,FALSE),VLOOKUP(D12,Equivalencia!A:F,5,FALSE)),Notas!B:B,1,FALSE),VLOOKUP(D12,Equivalencia!A:H,8,FALSE))),""))</f>
        <v/>
      </c>
      <c r="H12" s="97" t="str">
        <f>IFERROR(IF($L$9="","",IFERROR(IFERROR(VLOOKUP(G12,Equivalencia!A:B,2,FALSE),VLOOKUP(G12,Equivalencia!E:F,2,FALSE)),VLOOKUP(G12,Equivalencia!H:I,2,FALSE))),"")</f>
        <v/>
      </c>
      <c r="I12" s="111"/>
      <c r="J12" s="72">
        <v>2</v>
      </c>
      <c r="K12" s="73" t="str">
        <f>IF($F$8=" ","",VLOOKUP(G12,Notas!B:K,8,FALSE)/1000)</f>
        <v/>
      </c>
      <c r="L12" s="74" t="str">
        <f>IFERROR(IF(VLOOKUP(G12,Notas!B:K,9,FALSE)=".000","",VLOOKUP(G12,Notas!B:K,9,FALSE)/1000),"")</f>
        <v/>
      </c>
      <c r="M12" s="44"/>
    </row>
    <row r="13" spans="2:13" ht="13.2" customHeight="1" x14ac:dyDescent="0.3">
      <c r="B13" s="42"/>
      <c r="C13" s="136"/>
      <c r="D13" s="75" t="s">
        <v>20</v>
      </c>
      <c r="E13" s="98" t="s">
        <v>329</v>
      </c>
      <c r="F13" s="76"/>
      <c r="G13" s="77" t="str">
        <f>IF($F$8=" ","",IFERROR(IF($L$9="","",IFERROR(VLOOKUP(IFERROR(VLOOKUP(D13,Notas!B:B,1,FALSE),VLOOKUP(D13,Equivalencia!A:F,5,FALSE)),Notas!B:B,1,FALSE),VLOOKUP(D13,Equivalencia!A:H,8,FALSE))),""))</f>
        <v/>
      </c>
      <c r="H13" s="98" t="str">
        <f>IFERROR(IF($L$9="","",IFERROR(IFERROR(VLOOKUP(G13,Equivalencia!A:B,2,FALSE),VLOOKUP(G13,Equivalencia!E:F,2,FALSE)),VLOOKUP(G13,Equivalencia!H:I,2,FALSE))),"")</f>
        <v/>
      </c>
      <c r="I13" s="112"/>
      <c r="J13" s="78">
        <v>4</v>
      </c>
      <c r="K13" s="79" t="str">
        <f>IF($F$8=" ","",VLOOKUP(G13,Notas!B:K,8,FALSE)/1000)</f>
        <v/>
      </c>
      <c r="L13" s="80" t="str">
        <f>IFERROR(IF(VLOOKUP(G13,Notas!B:K,9,FALSE)=".000","",VLOOKUP(G13,Notas!B:K,9,FALSE)/1000),"")</f>
        <v/>
      </c>
      <c r="M13" s="44"/>
    </row>
    <row r="14" spans="2:13" ht="13.2" customHeight="1" x14ac:dyDescent="0.3">
      <c r="B14" s="42"/>
      <c r="C14" s="136"/>
      <c r="D14" s="75" t="s">
        <v>21</v>
      </c>
      <c r="E14" s="98" t="s">
        <v>330</v>
      </c>
      <c r="F14" s="76"/>
      <c r="G14" s="77" t="str">
        <f>IF($F$8=" ","",IFERROR(IF($L$9="","",IFERROR(VLOOKUP(IFERROR(VLOOKUP(D14,Notas!B:B,1,FALSE),VLOOKUP(D14,Equivalencia!A:F,5,FALSE)),Notas!B:B,1,FALSE),VLOOKUP(D14,Equivalencia!A:H,8,FALSE))),""))</f>
        <v/>
      </c>
      <c r="H14" s="98" t="str">
        <f>IFERROR(IF($L$9="","",IFERROR(IFERROR(VLOOKUP(G14,Equivalencia!A:B,2,FALSE),VLOOKUP(G14,Equivalencia!E:F,2,FALSE)),VLOOKUP(G14,Equivalencia!H:I,2,FALSE))),"")</f>
        <v/>
      </c>
      <c r="I14" s="112"/>
      <c r="J14" s="78">
        <v>4</v>
      </c>
      <c r="K14" s="79" t="str">
        <f>IF($F$8=" ","",VLOOKUP(G14,Notas!B:K,8,FALSE)/1000)</f>
        <v/>
      </c>
      <c r="L14" s="80" t="str">
        <f>IFERROR(IF(VLOOKUP(G14,Notas!B:K,9,FALSE)=".000","",VLOOKUP(G14,Notas!B:K,9,FALSE)/1000),"")</f>
        <v/>
      </c>
      <c r="M14" s="44"/>
    </row>
    <row r="15" spans="2:13" ht="13.2" customHeight="1" x14ac:dyDescent="0.3">
      <c r="B15" s="42"/>
      <c r="C15" s="136"/>
      <c r="D15" s="75" t="s">
        <v>22</v>
      </c>
      <c r="E15" s="98" t="s">
        <v>331</v>
      </c>
      <c r="F15" s="76"/>
      <c r="G15" s="77" t="str">
        <f>IF($F$8=" ","",IFERROR(IF($L$9="","",IFERROR(VLOOKUP(IFERROR(VLOOKUP(D15,Notas!B:B,1,FALSE),VLOOKUP(D15,Equivalencia!A:F,5,FALSE)),Notas!B:B,1,FALSE),VLOOKUP(D15,Equivalencia!A:H,8,FALSE))),""))</f>
        <v/>
      </c>
      <c r="H15" s="113" t="str">
        <f>IFERROR(IF($L$9="","",IFERROR(IFERROR(VLOOKUP(G15,Equivalencia!A:B,2,FALSE),VLOOKUP(G15,Equivalencia!E:F,2,FALSE)),VLOOKUP(G15,Equivalencia!H:I,2,FALSE))),"")</f>
        <v/>
      </c>
      <c r="I15" s="114"/>
      <c r="J15" s="78">
        <v>4</v>
      </c>
      <c r="K15" s="79" t="str">
        <f>IF($F$8=" ","",VLOOKUP(G15,Notas!B:K,8,FALSE)/1000)</f>
        <v/>
      </c>
      <c r="L15" s="80" t="str">
        <f>IFERROR(IF(VLOOKUP(G15,Notas!B:K,9,FALSE)=".000","",VLOOKUP(G15,Notas!B:K,9,FALSE)/1000),"")</f>
        <v/>
      </c>
      <c r="M15" s="44"/>
    </row>
    <row r="16" spans="2:13" ht="13.2" customHeight="1" x14ac:dyDescent="0.3">
      <c r="B16" s="42"/>
      <c r="C16" s="136"/>
      <c r="D16" s="75" t="s">
        <v>24</v>
      </c>
      <c r="E16" s="98" t="s">
        <v>25</v>
      </c>
      <c r="F16" s="76"/>
      <c r="G16" s="77" t="str">
        <f>IF($F$8=" ","",IFERROR(IF($L$9="","",IFERROR(VLOOKUP(IFERROR(VLOOKUP(D16,Notas!B:B,1,FALSE),VLOOKUP(D16,Equivalencia!A:F,5,FALSE)),Notas!B:B,1,FALSE),VLOOKUP(D16,Equivalencia!A:H,8,FALSE))),""))</f>
        <v/>
      </c>
      <c r="H16" s="98" t="str">
        <f>IFERROR(IF($L$9="","",IFERROR(IFERROR(VLOOKUP(G16,Equivalencia!A:B,2,FALSE),VLOOKUP(G16,Equivalencia!E:F,2,FALSE)),VLOOKUP(G16,Equivalencia!H:I,2,FALSE))),"")</f>
        <v/>
      </c>
      <c r="I16" s="112"/>
      <c r="J16" s="78">
        <v>4</v>
      </c>
      <c r="K16" s="79" t="str">
        <f>IF($F$8=" ","",VLOOKUP(G16,Notas!B:K,8,FALSE)/1000)</f>
        <v/>
      </c>
      <c r="L16" s="80" t="str">
        <f>IFERROR(IF(VLOOKUP(G16,Notas!B:K,9,FALSE)=".000","",VLOOKUP(G16,Notas!B:K,9,FALSE)/1000),"")</f>
        <v/>
      </c>
      <c r="M16" s="44"/>
    </row>
    <row r="17" spans="2:13" ht="13.2" customHeight="1" x14ac:dyDescent="0.3">
      <c r="B17" s="42"/>
      <c r="C17" s="136"/>
      <c r="D17" s="75" t="s">
        <v>26</v>
      </c>
      <c r="E17" s="98" t="s">
        <v>27</v>
      </c>
      <c r="F17" s="76"/>
      <c r="G17" s="77" t="str">
        <f>IF($F$8=" ","",IFERROR(IF($L$9="","",IFERROR(VLOOKUP(IFERROR(VLOOKUP(D17,Notas!B:B,1,FALSE),VLOOKUP(D17,Equivalencia!A:F,5,FALSE)),Notas!B:B,1,FALSE),VLOOKUP(D17,Equivalencia!A:H,8,FALSE))),""))</f>
        <v/>
      </c>
      <c r="H17" s="98" t="str">
        <f>IFERROR(IF($L$9="","",IFERROR(IFERROR(VLOOKUP(G17,Equivalencia!A:B,2,FALSE),VLOOKUP(G17,Equivalencia!E:F,2,FALSE)),VLOOKUP(G17,Equivalencia!H:I,2,FALSE))),"")</f>
        <v/>
      </c>
      <c r="I17" s="112"/>
      <c r="J17" s="78">
        <v>2</v>
      </c>
      <c r="K17" s="79" t="str">
        <f>IF($F$8=" ","",VLOOKUP(G17,Notas!B:K,8,FALSE)/1000)</f>
        <v/>
      </c>
      <c r="L17" s="80" t="str">
        <f>IFERROR(IF(VLOOKUP(G17,Notas!B:K,9,FALSE)=".000","",VLOOKUP(G17,Notas!B:K,9,FALSE)/1000),"")</f>
        <v/>
      </c>
      <c r="M17" s="44"/>
    </row>
    <row r="18" spans="2:13" ht="13.2" customHeight="1" x14ac:dyDescent="0.3">
      <c r="B18" s="42"/>
      <c r="C18" s="136"/>
      <c r="D18" s="75" t="s">
        <v>28</v>
      </c>
      <c r="E18" s="98" t="s">
        <v>29</v>
      </c>
      <c r="F18" s="76"/>
      <c r="G18" s="77" t="str">
        <f>IF($F$8=" ","",IFERROR(IF($L$9="","",IFERROR(VLOOKUP(IFERROR(VLOOKUP(D18,Notas!B:B,1,FALSE),VLOOKUP(D18,Equivalencia!A:F,5,FALSE)),Notas!B:B,1,FALSE),VLOOKUP(D18,Equivalencia!A:H,8,FALSE))),""))</f>
        <v/>
      </c>
      <c r="H18" s="98" t="str">
        <f>IFERROR(IF($L$9="","",IFERROR(IFERROR(VLOOKUP(G18,Equivalencia!A:B,2,FALSE),VLOOKUP(G18,Equivalencia!E:F,2,FALSE)),VLOOKUP(G18,Equivalencia!H:I,2,FALSE))),"")</f>
        <v/>
      </c>
      <c r="I18" s="112"/>
      <c r="J18" s="78">
        <v>2</v>
      </c>
      <c r="K18" s="79" t="str">
        <f>IF($F$8=" ","",VLOOKUP(G18,Notas!B:K,8,FALSE)/1000)</f>
        <v/>
      </c>
      <c r="L18" s="80" t="str">
        <f>IFERROR(IF(VLOOKUP(G18,Notas!B:K,9,FALSE)=".000","",VLOOKUP(G18,Notas!B:K,9,FALSE)/1000),"")</f>
        <v/>
      </c>
      <c r="M18" s="44"/>
    </row>
    <row r="19" spans="2:13" ht="13.2" customHeight="1" x14ac:dyDescent="0.3">
      <c r="B19" s="42"/>
      <c r="C19" s="136"/>
      <c r="D19" s="81" t="s">
        <v>30</v>
      </c>
      <c r="E19" s="99" t="s">
        <v>31</v>
      </c>
      <c r="F19" s="82"/>
      <c r="G19" s="77" t="str">
        <f>IF($F$8=" ","",IFERROR(IF($L$9="","",IFERROR(VLOOKUP(IFERROR(VLOOKUP(D19,Notas!B:B,1,FALSE),VLOOKUP(D19,Equivalencia!A:F,5,FALSE)),Notas!B:B,1,FALSE),VLOOKUP(D19,Equivalencia!A:H,8,FALSE))),""))</f>
        <v/>
      </c>
      <c r="H19" s="98" t="str">
        <f>IFERROR(IF($L$9="","",IFERROR(IFERROR(VLOOKUP(G19,Equivalencia!A:B,2,FALSE),VLOOKUP(G19,Equivalencia!E:F,2,FALSE)),VLOOKUP(G19,Equivalencia!H:I,2,FALSE))),"")</f>
        <v/>
      </c>
      <c r="I19" s="112"/>
      <c r="J19" s="78">
        <v>4</v>
      </c>
      <c r="K19" s="83" t="str">
        <f>IF($F$8=" ","",VLOOKUP(G19,Notas!B:K,8,FALSE)/1000)</f>
        <v/>
      </c>
      <c r="L19" s="84" t="str">
        <f>IFERROR(IF(VLOOKUP(G19,Notas!B:K,9,FALSE)=".000","",VLOOKUP(G19,Notas!B:K,9,FALSE)/1000),"")</f>
        <v/>
      </c>
      <c r="M19" s="44"/>
    </row>
    <row r="20" spans="2:13" ht="13.2" customHeight="1" x14ac:dyDescent="0.3">
      <c r="B20" s="42"/>
      <c r="C20" s="136"/>
      <c r="D20" s="81" t="s">
        <v>32</v>
      </c>
      <c r="E20" s="99" t="s">
        <v>33</v>
      </c>
      <c r="F20" s="82"/>
      <c r="G20" s="77" t="str">
        <f>IF($F$8=" ","",IFERROR(IF($L$9="","",IFERROR(VLOOKUP(IFERROR(VLOOKUP(D20,Notas!B:B,1,FALSE),VLOOKUP(D20,Equivalencia!A:F,5,FALSE)),Notas!B:B,1,FALSE),VLOOKUP(D20,Equivalencia!A:H,8,FALSE))),""))</f>
        <v/>
      </c>
      <c r="H20" s="98" t="str">
        <f>IFERROR(IF($L$9="","",IFERROR(IFERROR(VLOOKUP(G20,Equivalencia!A:B,2,FALSE),VLOOKUP(G20,Equivalencia!E:F,2,FALSE)),VLOOKUP(G20,Equivalencia!H:I,2,FALSE))),"")</f>
        <v/>
      </c>
      <c r="I20" s="112"/>
      <c r="J20" s="78">
        <v>3</v>
      </c>
      <c r="K20" s="83" t="str">
        <f>IF($F$8=" ","",VLOOKUP(G20,Notas!B:K,8,FALSE)/1000)</f>
        <v/>
      </c>
      <c r="L20" s="84" t="str">
        <f>IFERROR(IF(VLOOKUP(G20,Notas!B:K,9,FALSE)=".000","",VLOOKUP(G20,Notas!B:K,9,FALSE)/1000),"")</f>
        <v/>
      </c>
      <c r="M20" s="44"/>
    </row>
    <row r="21" spans="2:13" ht="13.2" customHeight="1" x14ac:dyDescent="0.3">
      <c r="B21" s="42"/>
      <c r="C21" s="136"/>
      <c r="D21" s="81" t="s">
        <v>34</v>
      </c>
      <c r="E21" s="99" t="s">
        <v>35</v>
      </c>
      <c r="F21" s="82"/>
      <c r="G21" s="77" t="str">
        <f>IF($F$8=" ","",IFERROR(IF($L$9="","",IFERROR(VLOOKUP(IFERROR(VLOOKUP(D21,Notas!B:B,1,FALSE),VLOOKUP(D21,Equivalencia!A:F,5,FALSE)),Notas!B:B,1,FALSE),VLOOKUP(D21,Equivalencia!A:H,8,FALSE))),""))</f>
        <v/>
      </c>
      <c r="H21" s="98" t="str">
        <f>IFERROR(IF($L$9="","",IFERROR(IFERROR(VLOOKUP(G21,Equivalencia!A:B,2,FALSE),VLOOKUP(G21,Equivalencia!E:F,2,FALSE)),VLOOKUP(G21,Equivalencia!H:I,2,FALSE))),"")</f>
        <v/>
      </c>
      <c r="I21" s="112"/>
      <c r="J21" s="78">
        <v>1</v>
      </c>
      <c r="K21" s="83" t="str">
        <f>IF($F$8=" ","",VLOOKUP(G21,Notas!B:K,8,FALSE)/1000)</f>
        <v/>
      </c>
      <c r="L21" s="84" t="str">
        <f>IFERROR(IF(VLOOKUP(G21,Notas!B:K,9,FALSE)=".000","",VLOOKUP(G21,Notas!B:K,9,FALSE)/1000),"")</f>
        <v/>
      </c>
      <c r="M21" s="44"/>
    </row>
    <row r="22" spans="2:13" ht="13.2" customHeight="1" x14ac:dyDescent="0.3">
      <c r="B22" s="42"/>
      <c r="C22" s="136"/>
      <c r="D22" s="81" t="s">
        <v>36</v>
      </c>
      <c r="E22" s="99" t="s">
        <v>332</v>
      </c>
      <c r="F22" s="82"/>
      <c r="G22" s="77" t="str">
        <f>IF($F$8=" ","",IFERROR(IF($L$9="","",IFERROR(VLOOKUP(IFERROR(VLOOKUP(D22,Notas!B:B,1,FALSE),VLOOKUP(D22,Equivalencia!A:F,5,FALSE)),Notas!B:B,1,FALSE),VLOOKUP(D22,Equivalencia!A:H,8,FALSE))),""))</f>
        <v/>
      </c>
      <c r="H22" s="98" t="str">
        <f>IFERROR(IF($L$9="","",IFERROR(IFERROR(VLOOKUP(G22,Equivalencia!A:B,2,FALSE),VLOOKUP(G22,Equivalencia!E:F,2,FALSE)),VLOOKUP(G22,Equivalencia!H:I,2,FALSE))),"")</f>
        <v/>
      </c>
      <c r="I22" s="112"/>
      <c r="J22" s="78">
        <v>3</v>
      </c>
      <c r="K22" s="83" t="str">
        <f>IF($F$8=" ","",VLOOKUP(G22,Notas!B:K,8,FALSE)/1000)</f>
        <v/>
      </c>
      <c r="L22" s="84" t="str">
        <f>IFERROR(IF(VLOOKUP(G22,Notas!B:K,9,FALSE)=".000","",VLOOKUP(G22,Notas!B:K,9,FALSE)/1000),"")</f>
        <v/>
      </c>
      <c r="M22" s="44"/>
    </row>
    <row r="23" spans="2:13" ht="13.2" customHeight="1" x14ac:dyDescent="0.3">
      <c r="B23" s="42"/>
      <c r="C23" s="136"/>
      <c r="D23" s="81" t="s">
        <v>37</v>
      </c>
      <c r="E23" s="99" t="s">
        <v>38</v>
      </c>
      <c r="F23" s="82"/>
      <c r="G23" s="77" t="str">
        <f>IF($F$8=" ","",IFERROR(IF($L$9="","",IFERROR(VLOOKUP(IFERROR(VLOOKUP(D23,Notas!B:B,1,FALSE),VLOOKUP(D23,Equivalencia!A:F,5,FALSE)),Notas!B:B,1,FALSE),VLOOKUP(D23,Equivalencia!A:H,8,FALSE))),""))</f>
        <v/>
      </c>
      <c r="H23" s="98" t="str">
        <f>IFERROR(IF($L$9="","",IFERROR(IFERROR(VLOOKUP(G23,Equivalencia!A:B,2,FALSE),VLOOKUP(G23,Equivalencia!E:F,2,FALSE)),VLOOKUP(G23,Equivalencia!H:I,2,FALSE))),"")</f>
        <v/>
      </c>
      <c r="I23" s="112"/>
      <c r="J23" s="78">
        <v>1</v>
      </c>
      <c r="K23" s="83" t="str">
        <f>IF($F$8=" ","",VLOOKUP(G23,Notas!B:K,8,FALSE)/1000)</f>
        <v/>
      </c>
      <c r="L23" s="84" t="str">
        <f>IFERROR(IF(VLOOKUP(G23,Notas!B:K,9,FALSE)=".000","",VLOOKUP(G23,Notas!B:K,9,FALSE)/1000),"")</f>
        <v/>
      </c>
      <c r="M23" s="44"/>
    </row>
    <row r="24" spans="2:13" ht="13.2" customHeight="1" x14ac:dyDescent="0.3">
      <c r="B24" s="42"/>
      <c r="C24" s="136"/>
      <c r="D24" s="81" t="s">
        <v>39</v>
      </c>
      <c r="E24" s="99" t="s">
        <v>40</v>
      </c>
      <c r="F24" s="82"/>
      <c r="G24" s="77" t="str">
        <f>IF($F$8=" ","",IFERROR(IF($L$9="","",IFERROR(VLOOKUP(IFERROR(VLOOKUP(D24,Notas!B:B,1,FALSE),VLOOKUP(D24,Equivalencia!A:F,5,FALSE)),Notas!B:B,1,FALSE),VLOOKUP(D24,Equivalencia!A:H,8,FALSE))),""))</f>
        <v/>
      </c>
      <c r="H24" s="98" t="str">
        <f>IFERROR(IF($L$9="","",IFERROR(IFERROR(VLOOKUP(G24,Equivalencia!A:B,2,FALSE),VLOOKUP(G24,Equivalencia!E:F,2,FALSE)),VLOOKUP(G24,Equivalencia!H:I,2,FALSE))),"")</f>
        <v/>
      </c>
      <c r="I24" s="112"/>
      <c r="J24" s="78">
        <v>3</v>
      </c>
      <c r="K24" s="83" t="str">
        <f>IF($F$8=" ","",VLOOKUP(G24,Notas!B:K,8,FALSE)/1000)</f>
        <v/>
      </c>
      <c r="L24" s="84" t="str">
        <f>IFERROR(IF(VLOOKUP(G24,Notas!B:K,9,FALSE)=".000","",VLOOKUP(G24,Notas!B:K,9,FALSE)/1000),"")</f>
        <v/>
      </c>
      <c r="M24" s="44"/>
    </row>
    <row r="25" spans="2:13" ht="13.2" customHeight="1" x14ac:dyDescent="0.3">
      <c r="B25" s="42"/>
      <c r="C25" s="136"/>
      <c r="D25" s="81" t="s">
        <v>41</v>
      </c>
      <c r="E25" s="99" t="s">
        <v>42</v>
      </c>
      <c r="F25" s="82"/>
      <c r="G25" s="77" t="str">
        <f>IF($F$8=" ","",IFERROR(IF($L$9="","",IFERROR(VLOOKUP(IFERROR(VLOOKUP(D25,Notas!B:B,1,FALSE),VLOOKUP(D25,Equivalencia!A:F,5,FALSE)),Notas!B:B,1,FALSE),VLOOKUP(D25,Equivalencia!A:H,8,FALSE))),""))</f>
        <v/>
      </c>
      <c r="H25" s="98" t="str">
        <f>IFERROR(IF($L$9="","",IFERROR(IFERROR(VLOOKUP(G25,Equivalencia!A:B,2,FALSE),VLOOKUP(G25,Equivalencia!E:F,2,FALSE)),VLOOKUP(G25,Equivalencia!H:I,2,FALSE))),"")</f>
        <v/>
      </c>
      <c r="I25" s="112"/>
      <c r="J25" s="78">
        <v>2</v>
      </c>
      <c r="K25" s="83" t="str">
        <f>IF($F$8=" ","",VLOOKUP(G25,Notas!B:K,8,FALSE)/1000)</f>
        <v/>
      </c>
      <c r="L25" s="84" t="str">
        <f>IFERROR(IF(VLOOKUP(G25,Notas!B:K,9,FALSE)=".000","",VLOOKUP(G25,Notas!B:K,9,FALSE)/1000),"")</f>
        <v/>
      </c>
      <c r="M25" s="44"/>
    </row>
    <row r="26" spans="2:13" ht="13.2" customHeight="1" x14ac:dyDescent="0.3">
      <c r="B26" s="42"/>
      <c r="C26" s="136"/>
      <c r="D26" s="81" t="s">
        <v>43</v>
      </c>
      <c r="E26" s="99" t="s">
        <v>44</v>
      </c>
      <c r="F26" s="82"/>
      <c r="G26" s="77" t="str">
        <f>IF($F$8=" ","",IFERROR(IF($L$9="","",IFERROR(VLOOKUP(IFERROR(VLOOKUP(D26,Notas!B:B,1,FALSE),VLOOKUP(D26,Equivalencia!A:F,5,FALSE)),Notas!B:B,1,FALSE),VLOOKUP(D26,Equivalencia!A:H,8,FALSE))),""))</f>
        <v/>
      </c>
      <c r="H26" s="98" t="str">
        <f>IFERROR(IF($L$9="","",IFERROR(IFERROR(VLOOKUP(G26,Equivalencia!A:B,2,FALSE),VLOOKUP(G26,Equivalencia!E:F,2,FALSE)),VLOOKUP(G26,Equivalencia!H:I,2,FALSE))),"")</f>
        <v/>
      </c>
      <c r="I26" s="112"/>
      <c r="J26" s="78">
        <v>3</v>
      </c>
      <c r="K26" s="83" t="str">
        <f>IF($F$8=" ","",VLOOKUP(G26,Notas!B:K,8,FALSE)/1000)</f>
        <v/>
      </c>
      <c r="L26" s="84" t="str">
        <f>IFERROR(IF(VLOOKUP(G26,Notas!B:K,9,FALSE)=".000","",VLOOKUP(G26,Notas!B:K,9,FALSE)/1000),"")</f>
        <v/>
      </c>
      <c r="M26" s="44"/>
    </row>
    <row r="27" spans="2:13" ht="13.2" customHeight="1" x14ac:dyDescent="0.3">
      <c r="B27" s="42"/>
      <c r="C27" s="136"/>
      <c r="D27" s="81" t="s">
        <v>45</v>
      </c>
      <c r="E27" s="99" t="s">
        <v>46</v>
      </c>
      <c r="F27" s="82"/>
      <c r="G27" s="77" t="str">
        <f>IF($F$8=" ","",IFERROR(IF($L$9="","",IFERROR(VLOOKUP(IFERROR(VLOOKUP(D27,Notas!B:B,1,FALSE),VLOOKUP(D27,Equivalencia!A:F,5,FALSE)),Notas!B:B,1,FALSE),VLOOKUP(D27,Equivalencia!A:H,8,FALSE))),""))</f>
        <v/>
      </c>
      <c r="H27" s="98" t="str">
        <f>IFERROR(IF($L$9="","",IFERROR(IFERROR(VLOOKUP(G27,Equivalencia!A:B,2,FALSE),VLOOKUP(G27,Equivalencia!E:F,2,FALSE)),VLOOKUP(G27,Equivalencia!H:I,2,FALSE))),"")</f>
        <v/>
      </c>
      <c r="I27" s="112"/>
      <c r="J27" s="78">
        <v>3</v>
      </c>
      <c r="K27" s="83" t="str">
        <f>IF($F$8=" ","",VLOOKUP(G27,Notas!B:K,8,FALSE)/1000)</f>
        <v/>
      </c>
      <c r="L27" s="84" t="str">
        <f>IFERROR(IF(VLOOKUP(G27,Notas!B:K,9,FALSE)=".000","",VLOOKUP(G27,Notas!B:K,9,FALSE)/1000),"")</f>
        <v/>
      </c>
      <c r="M27" s="44"/>
    </row>
    <row r="28" spans="2:13" ht="13.2" customHeight="1" x14ac:dyDescent="0.3">
      <c r="B28" s="42"/>
      <c r="C28" s="137"/>
      <c r="D28" s="118" t="s">
        <v>47</v>
      </c>
      <c r="E28" s="119" t="s">
        <v>48</v>
      </c>
      <c r="F28" s="120"/>
      <c r="G28" s="121" t="str">
        <f>IF($F$8=" ","",IFERROR(IF($L$9="","",IFERROR(VLOOKUP(IFERROR(VLOOKUP(D28,Notas!B:B,1,FALSE),VLOOKUP(D28,Equivalencia!A:F,5,FALSE)),Notas!B:B,1,FALSE),VLOOKUP(D28,Equivalencia!A:H,8,FALSE))),""))</f>
        <v/>
      </c>
      <c r="H28" s="119" t="str">
        <f>IFERROR(IF($L$9="","",IFERROR(IFERROR(VLOOKUP(G28,Equivalencia!A:B,2,FALSE),VLOOKUP(G28,Equivalencia!E:F,2,FALSE)),VLOOKUP(G28,Equivalencia!H:I,2,FALSE))),"")</f>
        <v/>
      </c>
      <c r="I28" s="122"/>
      <c r="J28" s="123">
        <v>2</v>
      </c>
      <c r="K28" s="124" t="str">
        <f>IF($F$8=" ","",VLOOKUP(G28,Notas!B:K,8,FALSE)/1000)</f>
        <v/>
      </c>
      <c r="L28" s="125" t="str">
        <f>IFERROR(IF(VLOOKUP(G28,Notas!B:K,9,FALSE)=".000","",VLOOKUP(G28,Notas!B:K,9,FALSE)/1000),"")</f>
        <v/>
      </c>
      <c r="M28" s="44"/>
    </row>
    <row r="29" spans="2:13" ht="13.2" customHeight="1" x14ac:dyDescent="0.3">
      <c r="B29" s="42"/>
      <c r="C29" s="138" t="s">
        <v>333</v>
      </c>
      <c r="D29" s="126" t="s">
        <v>49</v>
      </c>
      <c r="E29" s="127" t="s">
        <v>50</v>
      </c>
      <c r="F29" s="128"/>
      <c r="G29" s="126" t="str">
        <f>IF($F$8=" ","",IFERROR(IF($L$9="","",IFERROR(VLOOKUP(IFERROR(VLOOKUP(D29,Notas!B:B,1,FALSE),VLOOKUP(D29,Equivalencia!A:F,5,FALSE)),Notas!B:B,1,FALSE),VLOOKUP(D29,Equivalencia!A:H,8,FALSE))),""))</f>
        <v/>
      </c>
      <c r="H29" s="127" t="str">
        <f>IFERROR(IF($L$9="","",IFERROR(IFERROR(VLOOKUP(G29,Equivalencia!A:B,2,FALSE),VLOOKUP(G29,Equivalencia!E:F,2,FALSE)),VLOOKUP(G29,Equivalencia!H:I,2,FALSE))),"")</f>
        <v/>
      </c>
      <c r="I29" s="129"/>
      <c r="J29" s="130">
        <v>2</v>
      </c>
      <c r="K29" s="131" t="str">
        <f>IF($F$8=" ","",VLOOKUP(G29,Notas!B:K,8,FALSE)/1000)</f>
        <v/>
      </c>
      <c r="L29" s="132" t="str">
        <f>IFERROR(IF(VLOOKUP(G29,Notas!B:K,9,FALSE)=".000","",VLOOKUP(G29,Notas!B:K,9,FALSE)/1000),"")</f>
        <v/>
      </c>
      <c r="M29" s="44"/>
    </row>
    <row r="30" spans="2:13" ht="13.2" customHeight="1" x14ac:dyDescent="0.3">
      <c r="B30" s="42"/>
      <c r="C30" s="136"/>
      <c r="D30" s="75" t="s">
        <v>51</v>
      </c>
      <c r="E30" s="98" t="s">
        <v>52</v>
      </c>
      <c r="F30" s="76"/>
      <c r="G30" s="75" t="str">
        <f>IF($F$8=" ","",IFERROR(IF($L$9="","",IFERROR(VLOOKUP(IFERROR(VLOOKUP(D30,Notas!B:B,1,FALSE),VLOOKUP(D30,Equivalencia!A:F,5,FALSE)),Notas!B:B,1,FALSE),VLOOKUP(D30,Equivalencia!A:H,8,FALSE))),""))</f>
        <v/>
      </c>
      <c r="H30" s="98" t="str">
        <f>IFERROR(IF($L$9="","",IFERROR(IFERROR(VLOOKUP(G30,Equivalencia!A:B,2,FALSE),VLOOKUP(G30,Equivalencia!E:F,2,FALSE)),VLOOKUP(G30,Equivalencia!H:I,2,FALSE))),"")</f>
        <v/>
      </c>
      <c r="I30" s="112"/>
      <c r="J30" s="78">
        <v>2</v>
      </c>
      <c r="K30" s="79" t="str">
        <f>IF($F$8=" ","",VLOOKUP(G30,Notas!B:K,8,FALSE)/1000)</f>
        <v/>
      </c>
      <c r="L30" s="80" t="str">
        <f>IFERROR(IF(VLOOKUP(G30,Notas!B:K,9,FALSE)=".000","",VLOOKUP(G30,Notas!B:K,9,FALSE)/1000),"")</f>
        <v/>
      </c>
      <c r="M30" s="44"/>
    </row>
    <row r="31" spans="2:13" ht="13.2" customHeight="1" x14ac:dyDescent="0.3">
      <c r="B31" s="42"/>
      <c r="C31" s="136"/>
      <c r="D31" s="75" t="s">
        <v>53</v>
      </c>
      <c r="E31" s="98" t="s">
        <v>54</v>
      </c>
      <c r="F31" s="76"/>
      <c r="G31" s="75" t="str">
        <f>IF($F$8=" ","",IFERROR(IF($L$9="","",IFERROR(VLOOKUP(IFERROR(VLOOKUP(D31,Notas!B:B,1,FALSE),VLOOKUP(D31,Equivalencia!A:F,5,FALSE)),Notas!B:B,1,FALSE),VLOOKUP(D31,Equivalencia!A:H,8,FALSE))),""))</f>
        <v/>
      </c>
      <c r="H31" s="98" t="str">
        <f>IFERROR(IF($L$9="","",IFERROR(IFERROR(VLOOKUP(G31,Equivalencia!A:B,2,FALSE),VLOOKUP(G31,Equivalencia!E:F,2,FALSE)),VLOOKUP(G31,Equivalencia!H:I,2,FALSE))),"")</f>
        <v/>
      </c>
      <c r="I31" s="112"/>
      <c r="J31" s="78">
        <v>1</v>
      </c>
      <c r="K31" s="79" t="str">
        <f>IF($F$8=" ","",VLOOKUP(G31,Notas!B:K,8,FALSE)/1000)</f>
        <v/>
      </c>
      <c r="L31" s="80" t="str">
        <f>IFERROR(IF(VLOOKUP(G31,Notas!B:K,9,FALSE)=".000","",VLOOKUP(G31,Notas!B:K,9,FALSE)/1000),"")</f>
        <v/>
      </c>
      <c r="M31" s="44"/>
    </row>
    <row r="32" spans="2:13" ht="13.2" customHeight="1" x14ac:dyDescent="0.3">
      <c r="B32" s="42"/>
      <c r="C32" s="136"/>
      <c r="D32" s="75" t="s">
        <v>55</v>
      </c>
      <c r="E32" s="98" t="s">
        <v>56</v>
      </c>
      <c r="F32" s="82"/>
      <c r="G32" s="75" t="str">
        <f>IF($F$8=" ","",IFERROR(IF($L$9="","",IFERROR(VLOOKUP(IFERROR(VLOOKUP(D32,Notas!B:B,1,FALSE),VLOOKUP(D32,Equivalencia!A:F,5,FALSE)),Notas!B:B,1,FALSE),VLOOKUP(D32,Equivalencia!A:H,8,FALSE))),""))</f>
        <v/>
      </c>
      <c r="H32" s="98" t="str">
        <f>IFERROR(IF($L$9="","",IFERROR(IFERROR(VLOOKUP(G32,Equivalencia!A:B,2,FALSE),VLOOKUP(G32,Equivalencia!E:F,2,FALSE)),VLOOKUP(G32,Equivalencia!H:I,2,FALSE))),"")</f>
        <v/>
      </c>
      <c r="I32" s="112"/>
      <c r="J32" s="91">
        <v>1</v>
      </c>
      <c r="K32" s="79" t="str">
        <f>IF($F$8=" ","",VLOOKUP(G32,Notas!B:K,8,FALSE)/1000)</f>
        <v/>
      </c>
      <c r="L32" s="80" t="str">
        <f>IFERROR(IF(VLOOKUP(G32,Notas!B:K,9,FALSE)=".000","",VLOOKUP(G32,Notas!B:K,9,FALSE)/1000),"")</f>
        <v/>
      </c>
      <c r="M32" s="44"/>
    </row>
    <row r="33" spans="2:13" ht="13.2" customHeight="1" x14ac:dyDescent="0.3">
      <c r="B33" s="42"/>
      <c r="C33" s="137"/>
      <c r="D33" s="118" t="s">
        <v>57</v>
      </c>
      <c r="E33" s="133" t="s">
        <v>58</v>
      </c>
      <c r="F33" s="134"/>
      <c r="G33" s="124" t="str" cm="1">
        <f t="array" ref="G33">IFERROR(
   INDEX(Notas!B:B,
      MATCH(
         MAX(_xlfn._xlws.FILTER(Notas!K:K,
            (ISNUMBER(SEARCH("Ingles", Notas!C:C)) + ISNUMBER(SEARCH("Idiomas", Notas!C:C))) &gt; 0
         )),
         Notas!K:K,
         0
      )
   ),
   ""
)</f>
        <v/>
      </c>
      <c r="H33" s="133" t="str">
        <f>IFERROR(IF($L$9="","",IFERROR(IFERROR(VLOOKUP(G33,Equivalencia!A:B,2,FALSE),VLOOKUP(G33,Equivalencia!E:F,2,FALSE)),VLOOKUP(G33,Equivalencia!H:I,2,FALSE))),"")</f>
        <v/>
      </c>
      <c r="I33" s="135"/>
      <c r="J33" s="123">
        <v>2</v>
      </c>
      <c r="K33" s="124" t="str" cm="1">
        <f t="array" ref="K33">IF($F$8=" ","",MAX(_xlfn._xlws.FILTER(Notas!K:K,(ISNUMBER(SEARCH("Ingles",Notas!C:C))+ISNUMBER(SEARCH("Idiomas",Notas!C:C)))&gt;0))/1000)</f>
        <v/>
      </c>
      <c r="L33" s="125" t="str">
        <f>IFERROR(IF(VLOOKUP(G33,Notas!B:K,9,FALSE)=".000","",VLOOKUP(G33,Notas!B:K,9,FALSE)/1000),"")</f>
        <v/>
      </c>
      <c r="M33" s="44"/>
    </row>
    <row r="34" spans="2:13" ht="13.2" customHeight="1" x14ac:dyDescent="0.3">
      <c r="B34" s="42"/>
      <c r="C34" s="139" t="s">
        <v>59</v>
      </c>
      <c r="D34" s="126" t="s">
        <v>60</v>
      </c>
      <c r="E34" s="127" t="s">
        <v>61</v>
      </c>
      <c r="F34" s="128"/>
      <c r="G34" s="126" t="str">
        <f>IF($F$8=" ","",IFERROR(IF($L$9="","",IFERROR(VLOOKUP(IFERROR(VLOOKUP(D34,Notas!B:B,1,FALSE),VLOOKUP(D34,Equivalencia!A:F,5,FALSE)),Notas!B:B,1,FALSE),VLOOKUP(D34,Equivalencia!A:H,8,FALSE))),""))</f>
        <v/>
      </c>
      <c r="H34" s="127" t="str">
        <f>IFERROR(IF($L$9="","",IFERROR(IFERROR(VLOOKUP(G34,Equivalencia!A:B,2,FALSE),VLOOKUP(G34,Equivalencia!E:F,2,FALSE)),VLOOKUP(G34,Equivalencia!H:I,2,FALSE))),"")</f>
        <v/>
      </c>
      <c r="I34" s="129"/>
      <c r="J34" s="130">
        <v>2</v>
      </c>
      <c r="K34" s="131" t="str">
        <f>IF($F$8=" ","",VLOOKUP(G34,Notas!B:K,8,FALSE)/1000)</f>
        <v/>
      </c>
      <c r="L34" s="132" t="str">
        <f>IFERROR(IF(VLOOKUP(G34,Notas!B:K,9,FALSE)=".000","",VLOOKUP(G34,Notas!B:K,9,FALSE)/1000),"")</f>
        <v/>
      </c>
      <c r="M34" s="44"/>
    </row>
    <row r="35" spans="2:13" ht="13.2" customHeight="1" x14ac:dyDescent="0.3">
      <c r="B35" s="42"/>
      <c r="C35" s="140"/>
      <c r="D35" s="75" t="s">
        <v>62</v>
      </c>
      <c r="E35" s="102" t="s">
        <v>63</v>
      </c>
      <c r="F35" s="96"/>
      <c r="G35" s="75" t="str">
        <f>IF($F$8=" ","",IFERROR(IF($L$9="","",IFERROR(VLOOKUP(IFERROR(VLOOKUP(D35,Notas!B:B,1,FALSE),VLOOKUP(D35,Equivalencia!A:F,5,FALSE)),Notas!B:B,1,FALSE),VLOOKUP(D35,Equivalencia!A:H,8,FALSE))),""))</f>
        <v/>
      </c>
      <c r="H35" s="102" t="str">
        <f>IFERROR(IF($L$9="","",IFERROR(IFERROR(VLOOKUP(G35,Equivalencia!A:B,2,FALSE),VLOOKUP(G35,Equivalencia!E:F,2,FALSE)),VLOOKUP(G35,Equivalencia!H:I,2,FALSE))),"")</f>
        <v/>
      </c>
      <c r="I35" s="116"/>
      <c r="J35" s="78">
        <v>1</v>
      </c>
      <c r="K35" s="79" t="str">
        <f>IF($F$8=" ","",VLOOKUP(G35,Notas!B:K,8,FALSE)/1000)</f>
        <v/>
      </c>
      <c r="L35" s="80" t="str">
        <f>IFERROR(IF(VLOOKUP(G35,Notas!B:K,9,FALSE)=".000","",VLOOKUP(G35,Notas!B:K,9,FALSE)/1000),"")</f>
        <v/>
      </c>
      <c r="M35" s="44"/>
    </row>
    <row r="36" spans="2:13" ht="13.2" customHeight="1" x14ac:dyDescent="0.3">
      <c r="B36" s="42"/>
      <c r="C36" s="140"/>
      <c r="D36" s="75" t="s">
        <v>64</v>
      </c>
      <c r="E36" s="102" t="s">
        <v>65</v>
      </c>
      <c r="F36" s="96"/>
      <c r="G36" s="75" t="str">
        <f>IF($F$8=" ","",IFERROR(IF($L$9="","",IFERROR(VLOOKUP(IFERROR(VLOOKUP(D36,Notas!B:B,1,FALSE),VLOOKUP(D36,Equivalencia!A:F,5,FALSE)),Notas!B:B,1,FALSE),VLOOKUP(D36,Equivalencia!A:H,8,FALSE))),""))</f>
        <v/>
      </c>
      <c r="H36" s="102" t="str">
        <f>IFERROR(IF($L$9="","",IFERROR(IFERROR(VLOOKUP(G36,Equivalencia!A:B,2,FALSE),VLOOKUP(G36,Equivalencia!E:F,2,FALSE)),VLOOKUP(G36,Equivalencia!H:I,2,FALSE))),"")</f>
        <v/>
      </c>
      <c r="I36" s="116"/>
      <c r="J36" s="78">
        <v>1</v>
      </c>
      <c r="K36" s="79" t="str">
        <f>IF($F$8=" ","",VLOOKUP(G36,Notas!B:K,8,FALSE)/1000)</f>
        <v/>
      </c>
      <c r="L36" s="80" t="str">
        <f>IFERROR(IF(VLOOKUP(G36,Notas!B:K,9,FALSE)=".000","",VLOOKUP(G36,Notas!B:K,9,FALSE)/1000),"")</f>
        <v/>
      </c>
      <c r="M36" s="44"/>
    </row>
    <row r="37" spans="2:13" ht="13.2" customHeight="1" x14ac:dyDescent="0.3">
      <c r="B37" s="42"/>
      <c r="C37" s="141"/>
      <c r="D37" s="118" t="s">
        <v>66</v>
      </c>
      <c r="E37" s="133" t="s">
        <v>67</v>
      </c>
      <c r="F37" s="134"/>
      <c r="G37" s="118" t="str">
        <f>IF($F$8=" ","",IFERROR(IF($L$9="","",IFERROR(VLOOKUP(IFERROR(VLOOKUP(D37,Notas!B:B,1,FALSE),VLOOKUP(D37,Equivalencia!A:F,5,FALSE)),Notas!B:B,1,FALSE),VLOOKUP(D37,Equivalencia!A:H,8,FALSE))),""))</f>
        <v/>
      </c>
      <c r="H37" s="133" t="str">
        <f>IFERROR(IF($L$9="","",IFERROR(IFERROR(VLOOKUP(G37,Equivalencia!A:B,2,FALSE),VLOOKUP(G37,Equivalencia!E:F,2,FALSE)),VLOOKUP(G37,Equivalencia!H:I,2,FALSE))),"")</f>
        <v/>
      </c>
      <c r="I37" s="135"/>
      <c r="J37" s="123">
        <v>1</v>
      </c>
      <c r="K37" s="124" t="str">
        <f>IF($F$8=" ","",VLOOKUP(G37,Notas!B:K,8,FALSE)/1000)</f>
        <v/>
      </c>
      <c r="L37" s="125" t="str">
        <f>IFERROR(IF(VLOOKUP(G37,Notas!B:K,9,FALSE)=".000","",VLOOKUP(G37,Notas!B:K,9,FALSE)/1000),"")</f>
        <v/>
      </c>
      <c r="M37" s="44"/>
    </row>
    <row r="38" spans="2:13" ht="13.2" customHeight="1" x14ac:dyDescent="0.3">
      <c r="B38" s="42"/>
      <c r="C38" s="139" t="s">
        <v>68</v>
      </c>
      <c r="D38" s="126" t="s">
        <v>69</v>
      </c>
      <c r="E38" s="127" t="s">
        <v>70</v>
      </c>
      <c r="F38" s="128"/>
      <c r="G38" s="126" t="str">
        <f>IF($F$8=" ","",IFERROR(IF($L$9="","",IFERROR(VLOOKUP(IFERROR(VLOOKUP(D38,Notas!B:B,1,FALSE),VLOOKUP(D38,Equivalencia!A:F,5,FALSE)),Notas!B:B,1,FALSE),VLOOKUP(D38,Equivalencia!A:H,8,FALSE))),""))</f>
        <v/>
      </c>
      <c r="H38" s="127" t="str">
        <f>IFERROR(IF($L$9="","",IFERROR(IFERROR(VLOOKUP(G38,Equivalencia!A:B,2,FALSE),VLOOKUP(G38,Equivalencia!E:F,2,FALSE)),VLOOKUP(G38,Equivalencia!H:I,2,FALSE))),"")</f>
        <v/>
      </c>
      <c r="I38" s="129"/>
      <c r="J38" s="130">
        <v>2</v>
      </c>
      <c r="K38" s="131" t="str">
        <f>IF($F$8=" ","",VLOOKUP(G38,Notas!B:K,8,FALSE)/1000)</f>
        <v/>
      </c>
      <c r="L38" s="132" t="str">
        <f>IFERROR(IF(VLOOKUP(G38,Notas!B:K,9,FALSE)=".000","",VLOOKUP(G38,Notas!B:K,9,FALSE)/1000),"")</f>
        <v/>
      </c>
      <c r="M38" s="44"/>
    </row>
    <row r="39" spans="2:13" ht="13.2" customHeight="1" x14ac:dyDescent="0.3">
      <c r="B39" s="42"/>
      <c r="C39" s="140"/>
      <c r="D39" s="75" t="s">
        <v>71</v>
      </c>
      <c r="E39" s="98" t="s">
        <v>72</v>
      </c>
      <c r="F39" s="76"/>
      <c r="G39" s="75" t="str">
        <f>IF($F$8=" ","",IFERROR(IF($L$9="","",IFERROR(VLOOKUP(IFERROR(VLOOKUP(D39,Notas!B:B,1,FALSE),VLOOKUP(D39,Equivalencia!A:F,5,FALSE)),Notas!B:B,1,FALSE),VLOOKUP(D39,Equivalencia!A:H,8,FALSE))),""))</f>
        <v/>
      </c>
      <c r="H39" s="98" t="str">
        <f>IFERROR(IF($L$9="","",IFERROR(IFERROR(VLOOKUP(G39,Equivalencia!A:B,2,FALSE),VLOOKUP(G39,Equivalencia!E:F,2,FALSE)),VLOOKUP(G39,Equivalencia!H:I,2,FALSE))),"")</f>
        <v/>
      </c>
      <c r="I39" s="112"/>
      <c r="J39" s="78">
        <v>2</v>
      </c>
      <c r="K39" s="79" t="str">
        <f>IF($F$8=" ","",VLOOKUP(G39,Notas!B:K,8,FALSE)/1000)</f>
        <v/>
      </c>
      <c r="L39" s="80" t="str">
        <f>IFERROR(IF(VLOOKUP(G39,Notas!B:K,9,FALSE)=".000","",VLOOKUP(G39,Notas!B:K,9,FALSE)/1000),"")</f>
        <v/>
      </c>
      <c r="M39" s="44"/>
    </row>
    <row r="40" spans="2:13" ht="13.2" customHeight="1" x14ac:dyDescent="0.3">
      <c r="B40" s="42"/>
      <c r="C40" s="140"/>
      <c r="D40" s="75" t="s">
        <v>73</v>
      </c>
      <c r="E40" s="98" t="s">
        <v>74</v>
      </c>
      <c r="F40" s="76"/>
      <c r="G40" s="75" t="str">
        <f>IF($F$8=" ","",IFERROR(IF($L$9="","",IFERROR(VLOOKUP(IFERROR(VLOOKUP(D40,Notas!B:B,1,FALSE),VLOOKUP(D40,Equivalencia!A:F,5,FALSE)),Notas!B:B,1,FALSE),VLOOKUP(D40,Equivalencia!A:H,8,FALSE))),""))</f>
        <v/>
      </c>
      <c r="H40" s="98" t="str">
        <f>IFERROR(IF($L$9="","",IFERROR(IFERROR(VLOOKUP(G40,Equivalencia!A:B,2,FALSE),VLOOKUP(G40,Equivalencia!E:F,2,FALSE)),VLOOKUP(G40,Equivalencia!H:I,2,FALSE))),"")</f>
        <v/>
      </c>
      <c r="I40" s="112"/>
      <c r="J40" s="78">
        <v>2</v>
      </c>
      <c r="K40" s="79" t="str">
        <f>IF($F$8=" ","",VLOOKUP(G40,Notas!B:K,8,FALSE)/1000)</f>
        <v/>
      </c>
      <c r="L40" s="80" t="str">
        <f>IFERROR(IF(VLOOKUP(G40,Notas!B:K,9,FALSE)=".000","",VLOOKUP(G40,Notas!B:K,9,FALSE)/1000),"")</f>
        <v/>
      </c>
      <c r="M40" s="44"/>
    </row>
    <row r="41" spans="2:13" ht="13.2" customHeight="1" x14ac:dyDescent="0.3">
      <c r="B41" s="42"/>
      <c r="C41" s="140"/>
      <c r="D41" s="75" t="s">
        <v>75</v>
      </c>
      <c r="E41" s="98" t="s">
        <v>76</v>
      </c>
      <c r="F41" s="76"/>
      <c r="G41" s="75" t="str">
        <f>IF($F$8=" ","",IFERROR(IF($L$9="","",IFERROR(VLOOKUP(IFERROR(VLOOKUP(D41,Notas!B:B,1,FALSE),VLOOKUP(D41,Equivalencia!A:F,5,FALSE)),Notas!B:B,1,FALSE),VLOOKUP(D41,Equivalencia!A:H,8,FALSE))),""))</f>
        <v/>
      </c>
      <c r="H41" s="98" t="str">
        <f>IFERROR(IF($L$9="","",IFERROR(IFERROR(VLOOKUP(G41,Equivalencia!A:B,2,FALSE),VLOOKUP(G41,Equivalencia!E:F,2,FALSE)),VLOOKUP(G41,Equivalencia!H:I,2,FALSE))),"")</f>
        <v/>
      </c>
      <c r="I41" s="112"/>
      <c r="J41" s="78">
        <v>2</v>
      </c>
      <c r="K41" s="79" t="str">
        <f>IF($F$8=" ","",VLOOKUP(G41,Notas!B:K,8,FALSE)/1000)</f>
        <v/>
      </c>
      <c r="L41" s="80" t="str">
        <f>IFERROR(IF(VLOOKUP(G41,Notas!B:K,9,FALSE)=".000","",VLOOKUP(G41,Notas!B:K,9,FALSE)/1000),"")</f>
        <v/>
      </c>
      <c r="M41" s="44"/>
    </row>
    <row r="42" spans="2:13" ht="13.2" customHeight="1" x14ac:dyDescent="0.3">
      <c r="B42" s="42"/>
      <c r="C42" s="140"/>
      <c r="D42" s="75" t="s">
        <v>77</v>
      </c>
      <c r="E42" s="98" t="s">
        <v>78</v>
      </c>
      <c r="F42" s="76"/>
      <c r="G42" s="75" t="str">
        <f>IF($F$8=" ","",IFERROR(IF($L$9="","",IFERROR(VLOOKUP(IFERROR(VLOOKUP(D42,Notas!B:B,1,FALSE),VLOOKUP(D42,Equivalencia!A:F,5,FALSE)),Notas!B:B,1,FALSE),VLOOKUP(D42,Equivalencia!A:H,8,FALSE))),""))</f>
        <v/>
      </c>
      <c r="H42" s="98" t="str">
        <f>IFERROR(IF($L$9="","",IFERROR(IFERROR(VLOOKUP(G42,Equivalencia!A:B,2,FALSE),VLOOKUP(G42,Equivalencia!E:F,2,FALSE)),VLOOKUP(G42,Equivalencia!H:I,2,FALSE))),"")</f>
        <v/>
      </c>
      <c r="I42" s="112"/>
      <c r="J42" s="78">
        <v>2</v>
      </c>
      <c r="K42" s="79" t="str">
        <f>IF($F$8=" ","",VLOOKUP(G42,Notas!B:K,8,FALSE)/1000)</f>
        <v/>
      </c>
      <c r="L42" s="80" t="str">
        <f>IFERROR(IF(VLOOKUP(G42,Notas!B:K,9,FALSE)=".000","",VLOOKUP(G42,Notas!B:K,9,FALSE)/1000),"")</f>
        <v/>
      </c>
      <c r="M42" s="44"/>
    </row>
    <row r="43" spans="2:13" ht="13.2" customHeight="1" x14ac:dyDescent="0.3">
      <c r="B43" s="42"/>
      <c r="C43" s="140"/>
      <c r="D43" s="75" t="s">
        <v>79</v>
      </c>
      <c r="E43" s="98" t="s">
        <v>80</v>
      </c>
      <c r="F43" s="76"/>
      <c r="G43" s="75" t="str">
        <f>IF($F$8=" ","",IFERROR(IF($L$9="","",IFERROR(VLOOKUP(IFERROR(VLOOKUP(D43,Notas!B:B,1,FALSE),VLOOKUP(D43,Equivalencia!A:F,5,FALSE)),Notas!B:B,1,FALSE),VLOOKUP(D43,Equivalencia!A:H,8,FALSE))),""))</f>
        <v/>
      </c>
      <c r="H43" s="98" t="str">
        <f>IFERROR(IF($L$9="","",IFERROR(IFERROR(VLOOKUP(G43,Equivalencia!A:B,2,FALSE),VLOOKUP(G43,Equivalencia!E:F,2,FALSE)),VLOOKUP(G43,Equivalencia!H:I,2,FALSE))),"")</f>
        <v/>
      </c>
      <c r="I43" s="112"/>
      <c r="J43" s="78">
        <v>2</v>
      </c>
      <c r="K43" s="79" t="str">
        <f>IF($F$8=" ","",VLOOKUP(G43,Notas!B:K,8,FALSE)/1000)</f>
        <v/>
      </c>
      <c r="L43" s="80" t="str">
        <f>IFERROR(IF(VLOOKUP(G43,Notas!B:K,9,FALSE)=".000","",VLOOKUP(G43,Notas!B:K,9,FALSE)/1000),"")</f>
        <v/>
      </c>
      <c r="M43" s="44"/>
    </row>
    <row r="44" spans="2:13" ht="13.2" customHeight="1" x14ac:dyDescent="0.3">
      <c r="B44" s="42"/>
      <c r="C44" s="140"/>
      <c r="D44" s="75" t="s">
        <v>81</v>
      </c>
      <c r="E44" s="98" t="s">
        <v>82</v>
      </c>
      <c r="F44" s="76"/>
      <c r="G44" s="75" t="str">
        <f>IF($F$8=" ","",IFERROR(IF($L$9="","",IFERROR(VLOOKUP(IFERROR(VLOOKUP(D44,Notas!B:B,1,FALSE),VLOOKUP(D44,Equivalencia!A:F,5,FALSE)),Notas!B:B,1,FALSE),VLOOKUP(D44,Equivalencia!A:H,8,FALSE))),""))</f>
        <v/>
      </c>
      <c r="H44" s="98" t="str">
        <f>IFERROR(IF($L$9="","",IFERROR(IFERROR(VLOOKUP(G44,Equivalencia!A:B,2,FALSE),VLOOKUP(G44,Equivalencia!E:F,2,FALSE)),VLOOKUP(G44,Equivalencia!H:I,2,FALSE))),"")</f>
        <v/>
      </c>
      <c r="I44" s="112"/>
      <c r="J44" s="78">
        <v>2</v>
      </c>
      <c r="K44" s="79" t="str">
        <f>IF($F$8=" ","",VLOOKUP(G44,Notas!B:K,8,FALSE)/1000)</f>
        <v/>
      </c>
      <c r="L44" s="80" t="str">
        <f>IFERROR(IF(VLOOKUP(G44,Notas!B:K,9,FALSE)=".000","",VLOOKUP(G44,Notas!B:K,9,FALSE)/1000),"")</f>
        <v/>
      </c>
      <c r="M44" s="44"/>
    </row>
    <row r="45" spans="2:13" ht="13.2" customHeight="1" x14ac:dyDescent="0.3">
      <c r="B45" s="42"/>
      <c r="C45" s="140"/>
      <c r="D45" s="75" t="s">
        <v>83</v>
      </c>
      <c r="E45" s="98" t="s">
        <v>84</v>
      </c>
      <c r="F45" s="76"/>
      <c r="G45" s="75" t="str">
        <f>IF($F$8=" ","",IFERROR(IF($L$9="","",IFERROR(VLOOKUP(IFERROR(VLOOKUP(D45,Notas!B:B,1,FALSE),VLOOKUP(D45,Equivalencia!A:F,5,FALSE)),Notas!B:B,1,FALSE),VLOOKUP(D45,Equivalencia!A:H,8,FALSE))),""))</f>
        <v/>
      </c>
      <c r="H45" s="98" t="str">
        <f>IFERROR(IF($L$9="","",IFERROR(IFERROR(VLOOKUP(G45,Equivalencia!A:B,2,FALSE),VLOOKUP(G45,Equivalencia!E:F,2,FALSE)),VLOOKUP(G45,Equivalencia!H:I,2,FALSE))),"")</f>
        <v/>
      </c>
      <c r="I45" s="112"/>
      <c r="J45" s="78">
        <v>2</v>
      </c>
      <c r="K45" s="79" t="str">
        <f>IF($F$8=" ","",VLOOKUP(G45,Notas!B:K,8,FALSE)/1000)</f>
        <v/>
      </c>
      <c r="L45" s="80" t="str">
        <f>IFERROR(IF(VLOOKUP(G45,Notas!B:K,9,FALSE)=".000","",VLOOKUP(G45,Notas!B:K,9,FALSE)/1000),"")</f>
        <v/>
      </c>
      <c r="M45" s="44"/>
    </row>
    <row r="46" spans="2:13" ht="13.2" customHeight="1" x14ac:dyDescent="0.3">
      <c r="B46" s="42"/>
      <c r="C46" s="140"/>
      <c r="D46" s="75" t="s">
        <v>85</v>
      </c>
      <c r="E46" s="98" t="s">
        <v>86</v>
      </c>
      <c r="F46" s="76"/>
      <c r="G46" s="75" t="str">
        <f>IF($F$8=" ","",IFERROR(IF($L$9="","",IFERROR(VLOOKUP(IFERROR(VLOOKUP(D46,Notas!B:B,1,FALSE),VLOOKUP(D46,Equivalencia!A:F,5,FALSE)),Notas!B:B,1,FALSE),VLOOKUP(D46,Equivalencia!A:H,8,FALSE))),""))</f>
        <v/>
      </c>
      <c r="H46" s="98" t="str">
        <f>IFERROR(IF($L$9="","",IFERROR(IFERROR(VLOOKUP(G46,Equivalencia!A:B,2,FALSE),VLOOKUP(G46,Equivalencia!E:F,2,FALSE)),VLOOKUP(G46,Equivalencia!H:I,2,FALSE))),"")</f>
        <v/>
      </c>
      <c r="I46" s="112"/>
      <c r="J46" s="78">
        <v>2</v>
      </c>
      <c r="K46" s="79" t="str">
        <f>IF($F$8=" ","",VLOOKUP(G46,Notas!B:K,8,FALSE)/1000)</f>
        <v/>
      </c>
      <c r="L46" s="80" t="str">
        <f>IFERROR(IF(VLOOKUP(G46,Notas!B:K,9,FALSE)=".000","",VLOOKUP(G46,Notas!B:K,9,FALSE)/1000),"")</f>
        <v/>
      </c>
      <c r="M46" s="44"/>
    </row>
    <row r="47" spans="2:13" ht="13.2" customHeight="1" x14ac:dyDescent="0.3">
      <c r="B47" s="42"/>
      <c r="C47" s="140"/>
      <c r="D47" s="75" t="s">
        <v>87</v>
      </c>
      <c r="E47" s="98" t="s">
        <v>88</v>
      </c>
      <c r="F47" s="76"/>
      <c r="G47" s="75" t="str">
        <f>IF($F$8=" ","",IFERROR(IF($L$9="","",IFERROR(VLOOKUP(IFERROR(VLOOKUP(D47,Notas!B:B,1,FALSE),VLOOKUP(D47,Equivalencia!A:F,5,FALSE)),Notas!B:B,1,FALSE),VLOOKUP(D47,Equivalencia!A:H,8,FALSE))),""))</f>
        <v/>
      </c>
      <c r="H47" s="98" t="str">
        <f>IFERROR(IF($L$9="","",IFERROR(IFERROR(VLOOKUP(G47,Equivalencia!A:B,2,FALSE),VLOOKUP(G47,Equivalencia!E:F,2,FALSE)),VLOOKUP(G47,Equivalencia!H:I,2,FALSE))),"")</f>
        <v/>
      </c>
      <c r="I47" s="112"/>
      <c r="J47" s="78">
        <v>3</v>
      </c>
      <c r="K47" s="79" t="str">
        <f>IF($F$8=" ","",VLOOKUP(G47,Notas!B:K,8,FALSE)/1000)</f>
        <v/>
      </c>
      <c r="L47" s="80" t="str">
        <f>IFERROR(IF(VLOOKUP(G47,Notas!B:K,9,FALSE)=".000","",VLOOKUP(G47,Notas!B:K,9,FALSE)/1000),"")</f>
        <v/>
      </c>
      <c r="M47" s="44"/>
    </row>
    <row r="48" spans="2:13" ht="13.2" customHeight="1" x14ac:dyDescent="0.3">
      <c r="B48" s="42"/>
      <c r="C48" s="140"/>
      <c r="D48" s="75" t="s">
        <v>89</v>
      </c>
      <c r="E48" s="98" t="s">
        <v>90</v>
      </c>
      <c r="F48" s="76"/>
      <c r="G48" s="75" t="str">
        <f>IF($F$8=" ","",IFERROR(IF($L$9="","",IFERROR(VLOOKUP(IFERROR(VLOOKUP(D48,Notas!B:B,1,FALSE),VLOOKUP(D48,Equivalencia!A:F,5,FALSE)),Notas!B:B,1,FALSE),VLOOKUP(D48,Equivalencia!A:H,8,FALSE))),""))</f>
        <v/>
      </c>
      <c r="H48" s="98" t="str">
        <f>IFERROR(IF($L$9="","",IFERROR(IFERROR(VLOOKUP(G48,Equivalencia!A:B,2,FALSE),VLOOKUP(G48,Equivalencia!E:F,2,FALSE)),VLOOKUP(G48,Equivalencia!H:I,2,FALSE))),"")</f>
        <v/>
      </c>
      <c r="I48" s="112"/>
      <c r="J48" s="78">
        <v>3</v>
      </c>
      <c r="K48" s="79" t="str">
        <f>IF($F$8=" ","",VLOOKUP(G48,Notas!B:K,8,FALSE)/1000)</f>
        <v/>
      </c>
      <c r="L48" s="80" t="str">
        <f>IFERROR(IF(VLOOKUP(G48,Notas!B:K,9,FALSE)=".000","",VLOOKUP(G48,Notas!B:K,9,FALSE)/1000),"")</f>
        <v/>
      </c>
      <c r="M48" s="44"/>
    </row>
    <row r="49" spans="2:13" ht="13.2" customHeight="1" x14ac:dyDescent="0.3">
      <c r="B49" s="42"/>
      <c r="C49" s="140"/>
      <c r="D49" s="75" t="s">
        <v>91</v>
      </c>
      <c r="E49" s="98" t="s">
        <v>92</v>
      </c>
      <c r="F49" s="76"/>
      <c r="G49" s="75" t="str">
        <f>IF($F$8=" ","",IFERROR(IF($L$9="","",IFERROR(VLOOKUP(IFERROR(VLOOKUP(D49,Notas!B:B,1,FALSE),VLOOKUP(D49,Equivalencia!A:F,5,FALSE)),Notas!B:B,1,FALSE),VLOOKUP(D49,Equivalencia!A:H,8,FALSE))),""))</f>
        <v/>
      </c>
      <c r="H49" s="98" t="str">
        <f>IFERROR(IF($L$9="","",IFERROR(IFERROR(VLOOKUP(G49,Equivalencia!A:B,2,FALSE),VLOOKUP(G49,Equivalencia!E:F,2,FALSE)),VLOOKUP(G49,Equivalencia!H:I,2,FALSE))),"")</f>
        <v/>
      </c>
      <c r="I49" s="112"/>
      <c r="J49" s="78">
        <v>2</v>
      </c>
      <c r="K49" s="79" t="str">
        <f>IF($F$8=" ","",VLOOKUP(G49,Notas!B:K,8,FALSE)/1000)</f>
        <v/>
      </c>
      <c r="L49" s="80" t="str">
        <f>IFERROR(IF(VLOOKUP(G49,Notas!B:K,9,FALSE)=".000","",VLOOKUP(G49,Notas!B:K,9,FALSE)/1000),"")</f>
        <v/>
      </c>
      <c r="M49" s="44"/>
    </row>
    <row r="50" spans="2:13" ht="13.2" customHeight="1" x14ac:dyDescent="0.3">
      <c r="B50" s="42"/>
      <c r="C50" s="140"/>
      <c r="D50" s="75" t="s">
        <v>93</v>
      </c>
      <c r="E50" s="98" t="s">
        <v>94</v>
      </c>
      <c r="F50" s="76"/>
      <c r="G50" s="75" t="str">
        <f>IF($F$8=" ","",IFERROR(IF($L$9="","",IFERROR(VLOOKUP(IFERROR(VLOOKUP(D50,Notas!B:B,1,FALSE),VLOOKUP(D50,Equivalencia!A:F,5,FALSE)),Notas!B:B,1,FALSE),VLOOKUP(D50,Equivalencia!A:H,8,FALSE))),""))</f>
        <v/>
      </c>
      <c r="H50" s="98" t="str">
        <f>IFERROR(IF($L$9="","",IFERROR(IFERROR(VLOOKUP(G50,Equivalencia!A:B,2,FALSE),VLOOKUP(G50,Equivalencia!E:F,2,FALSE)),VLOOKUP(G50,Equivalencia!H:I,2,FALSE))),"")</f>
        <v/>
      </c>
      <c r="I50" s="112"/>
      <c r="J50" s="78">
        <v>1</v>
      </c>
      <c r="K50" s="79" t="str">
        <f>IF($F$8=" ","",VLOOKUP(G50,Notas!B:K,8,FALSE)/1000)</f>
        <v/>
      </c>
      <c r="L50" s="80" t="str">
        <f>IFERROR(IF(VLOOKUP(G50,Notas!B:K,9,FALSE)=".000","",VLOOKUP(G50,Notas!B:K,9,FALSE)/1000),"")</f>
        <v/>
      </c>
      <c r="M50" s="44"/>
    </row>
    <row r="51" spans="2:13" ht="13.2" customHeight="1" x14ac:dyDescent="0.3">
      <c r="B51" s="42"/>
      <c r="C51" s="140"/>
      <c r="D51" s="75" t="s">
        <v>95</v>
      </c>
      <c r="E51" s="98" t="s">
        <v>96</v>
      </c>
      <c r="F51" s="76"/>
      <c r="G51" s="75" t="str">
        <f>IF($F$8=" ","",IFERROR(IF($L$9="","",IFERROR(VLOOKUP(IFERROR(VLOOKUP(D51,Notas!B:B,1,FALSE),VLOOKUP(D51,Equivalencia!A:F,5,FALSE)),Notas!B:B,1,FALSE),VLOOKUP(D51,Equivalencia!A:H,8,FALSE))),""))</f>
        <v/>
      </c>
      <c r="H51" s="98" t="str">
        <f>IFERROR(IF($L$9="","",IFERROR(IFERROR(VLOOKUP(G51,Equivalencia!A:B,2,FALSE),VLOOKUP(G51,Equivalencia!E:F,2,FALSE)),VLOOKUP(G51,Equivalencia!H:I,2,FALSE))),"")</f>
        <v/>
      </c>
      <c r="I51" s="112"/>
      <c r="J51" s="78">
        <v>3</v>
      </c>
      <c r="K51" s="79" t="str">
        <f>IF($F$8=" ","",VLOOKUP(G51,Notas!B:K,8,FALSE)/1000)</f>
        <v/>
      </c>
      <c r="L51" s="80" t="str">
        <f>IFERROR(IF(VLOOKUP(G51,Notas!B:K,9,FALSE)=".000","",VLOOKUP(G51,Notas!B:K,9,FALSE)/1000),"")</f>
        <v/>
      </c>
      <c r="M51" s="44"/>
    </row>
    <row r="52" spans="2:13" ht="13.2" customHeight="1" x14ac:dyDescent="0.3">
      <c r="B52" s="42"/>
      <c r="C52" s="140"/>
      <c r="D52" s="75" t="s">
        <v>97</v>
      </c>
      <c r="E52" s="98" t="s">
        <v>98</v>
      </c>
      <c r="F52" s="76"/>
      <c r="G52" s="75" t="str">
        <f>IF($F$8=" ","",IFERROR(IF($L$9="","",IFERROR(VLOOKUP(IFERROR(VLOOKUP(D52,Notas!B:B,1,FALSE),VLOOKUP(D52,Equivalencia!A:F,5,FALSE)),Notas!B:B,1,FALSE),VLOOKUP(D52,Equivalencia!A:H,8,FALSE))),""))</f>
        <v/>
      </c>
      <c r="H52" s="98" t="str">
        <f>IFERROR(IF($L$9="","",IFERROR(IFERROR(VLOOKUP(G52,Equivalencia!A:B,2,FALSE),VLOOKUP(G52,Equivalencia!E:F,2,FALSE)),VLOOKUP(G52,Equivalencia!H:I,2,FALSE))),"")</f>
        <v/>
      </c>
      <c r="I52" s="112"/>
      <c r="J52" s="78">
        <v>3</v>
      </c>
      <c r="K52" s="79" t="str">
        <f>IF($F$8=" ","",VLOOKUP(G52,Notas!B:K,8,FALSE)/1000)</f>
        <v/>
      </c>
      <c r="L52" s="80" t="str">
        <f>IFERROR(IF(VLOOKUP(G52,Notas!B:K,9,FALSE)=".000","",VLOOKUP(G52,Notas!B:K,9,FALSE)/1000),"")</f>
        <v/>
      </c>
      <c r="M52" s="44"/>
    </row>
    <row r="53" spans="2:13" ht="13.2" customHeight="1" x14ac:dyDescent="0.3">
      <c r="B53" s="42"/>
      <c r="C53" s="140"/>
      <c r="D53" s="75" t="s">
        <v>99</v>
      </c>
      <c r="E53" s="98" t="s">
        <v>100</v>
      </c>
      <c r="F53" s="76"/>
      <c r="G53" s="75" t="str">
        <f>IF($F$8=" ","",IFERROR(IF($L$9="","",IFERROR(VLOOKUP(IFERROR(VLOOKUP(D53,Notas!B:B,1,FALSE),VLOOKUP(D53,Equivalencia!A:F,5,FALSE)),Notas!B:B,1,FALSE),VLOOKUP(D53,Equivalencia!A:H,8,FALSE))),""))</f>
        <v/>
      </c>
      <c r="H53" s="98" t="str">
        <f>IFERROR(IF($L$9="","",IFERROR(IFERROR(VLOOKUP(G53,Equivalencia!A:B,2,FALSE),VLOOKUP(G53,Equivalencia!E:F,2,FALSE)),VLOOKUP(G53,Equivalencia!H:I,2,FALSE))),"")</f>
        <v/>
      </c>
      <c r="I53" s="112"/>
      <c r="J53" s="78">
        <v>2</v>
      </c>
      <c r="K53" s="79" t="str">
        <f>IF($F$8=" ","",VLOOKUP(G53,Notas!B:K,8,FALSE)/1000)</f>
        <v/>
      </c>
      <c r="L53" s="80" t="str">
        <f>IFERROR(IF(VLOOKUP(G53,Notas!B:K,9,FALSE)=".000","",VLOOKUP(G53,Notas!B:K,9,FALSE)/1000),"")</f>
        <v/>
      </c>
      <c r="M53" s="44"/>
    </row>
    <row r="54" spans="2:13" ht="13.2" customHeight="1" x14ac:dyDescent="0.3">
      <c r="B54" s="42"/>
      <c r="C54" s="140"/>
      <c r="D54" s="75" t="s">
        <v>101</v>
      </c>
      <c r="E54" s="98" t="s">
        <v>102</v>
      </c>
      <c r="F54" s="76"/>
      <c r="G54" s="75" t="str">
        <f>IF($F$8=" ","",IFERROR(IF($L$9="","",IFERROR(VLOOKUP(IFERROR(VLOOKUP(D54,Notas!B:B,1,FALSE),VLOOKUP(D54,Equivalencia!A:F,5,FALSE)),Notas!B:B,1,FALSE),VLOOKUP(D54,Equivalencia!A:H,8,FALSE))),""))</f>
        <v/>
      </c>
      <c r="H54" s="98" t="str">
        <f>IFERROR(IF($L$9="","",IFERROR(IFERROR(VLOOKUP(G54,Equivalencia!A:B,2,FALSE),VLOOKUP(G54,Equivalencia!E:F,2,FALSE)),VLOOKUP(G54,Equivalencia!H:I,2,FALSE))),"")</f>
        <v/>
      </c>
      <c r="I54" s="112"/>
      <c r="J54" s="78">
        <v>4</v>
      </c>
      <c r="K54" s="79" t="str">
        <f>IF($F$8=" ","",VLOOKUP(G54,Notas!B:K,8,FALSE)/1000)</f>
        <v/>
      </c>
      <c r="L54" s="80" t="str">
        <f>IFERROR(IF(VLOOKUP(G54,Notas!B:K,9,FALSE)=".000","",VLOOKUP(G54,Notas!B:K,9,FALSE)/1000),"")</f>
        <v/>
      </c>
      <c r="M54" s="44"/>
    </row>
    <row r="55" spans="2:13" ht="13.2" customHeight="1" x14ac:dyDescent="0.3">
      <c r="B55" s="42"/>
      <c r="C55" s="140"/>
      <c r="D55" s="75" t="s">
        <v>103</v>
      </c>
      <c r="E55" s="98" t="s">
        <v>104</v>
      </c>
      <c r="F55" s="76"/>
      <c r="G55" s="75" t="str">
        <f>IF($F$8=" ","",IFERROR(IF($L$9="","",IFERROR(VLOOKUP(IFERROR(VLOOKUP(D55,Notas!B:B,1,FALSE),VLOOKUP(D55,Equivalencia!A:F,5,FALSE)),Notas!B:B,1,FALSE),VLOOKUP(D55,Equivalencia!A:H,8,FALSE))),""))</f>
        <v/>
      </c>
      <c r="H55" s="98" t="str">
        <f>IFERROR(IF($L$9="","",IFERROR(IFERROR(VLOOKUP(G55,Equivalencia!A:B,2,FALSE),VLOOKUP(G55,Equivalencia!E:F,2,FALSE)),VLOOKUP(G55,Equivalencia!H:I,2,FALSE))),"")</f>
        <v/>
      </c>
      <c r="I55" s="112"/>
      <c r="J55" s="78">
        <v>2</v>
      </c>
      <c r="K55" s="79" t="str">
        <f>IF($F$8=" ","",VLOOKUP(G55,Notas!B:K,8,FALSE)/1000)</f>
        <v/>
      </c>
      <c r="L55" s="80" t="str">
        <f>IFERROR(IF(VLOOKUP(G55,Notas!B:K,9,FALSE)=".000","",VLOOKUP(G55,Notas!B:K,9,FALSE)/1000),"")</f>
        <v/>
      </c>
      <c r="M55" s="44"/>
    </row>
    <row r="56" spans="2:13" ht="13.2" customHeight="1" x14ac:dyDescent="0.3">
      <c r="B56" s="42"/>
      <c r="C56" s="140"/>
      <c r="D56" s="75" t="s">
        <v>105</v>
      </c>
      <c r="E56" s="98" t="s">
        <v>106</v>
      </c>
      <c r="F56" s="76"/>
      <c r="G56" s="75" t="str">
        <f>IF($F$8=" ","",IFERROR(IF($L$9="","",IFERROR(VLOOKUP(IFERROR(VLOOKUP(D56,Notas!B:B,1,FALSE),VLOOKUP(D56,Equivalencia!A:F,5,FALSE)),Notas!B:B,1,FALSE),VLOOKUP(D56,Equivalencia!A:H,8,FALSE))),""))</f>
        <v/>
      </c>
      <c r="H56" s="98" t="str">
        <f>IFERROR(IF($L$9="","",IFERROR(IFERROR(VLOOKUP(G56,Equivalencia!A:B,2,FALSE),VLOOKUP(G56,Equivalencia!E:F,2,FALSE)),VLOOKUP(G56,Equivalencia!H:I,2,FALSE))),"")</f>
        <v/>
      </c>
      <c r="I56" s="112"/>
      <c r="J56" s="78">
        <v>3</v>
      </c>
      <c r="K56" s="79" t="str">
        <f>IF($F$8=" ","",VLOOKUP(G56,Notas!B:K,8,FALSE)/1000)</f>
        <v/>
      </c>
      <c r="L56" s="80" t="str">
        <f>IFERROR(IF(VLOOKUP(G56,Notas!B:K,9,FALSE)=".000","",VLOOKUP(G56,Notas!B:K,9,FALSE)/1000),"")</f>
        <v/>
      </c>
      <c r="M56" s="44"/>
    </row>
    <row r="57" spans="2:13" ht="13.2" customHeight="1" x14ac:dyDescent="0.3">
      <c r="B57" s="42"/>
      <c r="C57" s="140"/>
      <c r="D57" s="75" t="s">
        <v>107</v>
      </c>
      <c r="E57" s="98" t="s">
        <v>108</v>
      </c>
      <c r="F57" s="76"/>
      <c r="G57" s="75" t="str">
        <f>IF($F$8=" ","",IFERROR(IF($L$9="","",IFERROR(VLOOKUP(IFERROR(VLOOKUP(D57,Notas!B:B,1,FALSE),VLOOKUP(D57,Equivalencia!A:F,5,FALSE)),Notas!B:B,1,FALSE),VLOOKUP(D57,Equivalencia!A:H,8,FALSE))),""))</f>
        <v/>
      </c>
      <c r="H57" s="98" t="str">
        <f>IFERROR(IF($L$9="","",IFERROR(IFERROR(VLOOKUP(G57,Equivalencia!A:B,2,FALSE),VLOOKUP(G57,Equivalencia!E:F,2,FALSE)),VLOOKUP(G57,Equivalencia!H:I,2,FALSE))),"")</f>
        <v/>
      </c>
      <c r="I57" s="112"/>
      <c r="J57" s="78">
        <v>2</v>
      </c>
      <c r="K57" s="79" t="str">
        <f>IF($F$8=" ","",VLOOKUP(G57,Notas!B:K,8,FALSE)/1000)</f>
        <v/>
      </c>
      <c r="L57" s="80" t="str">
        <f>IFERROR(IF(VLOOKUP(G57,Notas!B:K,9,FALSE)=".000","",VLOOKUP(G57,Notas!B:K,9,FALSE)/1000),"")</f>
        <v/>
      </c>
      <c r="M57" s="44"/>
    </row>
    <row r="58" spans="2:13" ht="13.2" customHeight="1" x14ac:dyDescent="0.3">
      <c r="B58" s="42"/>
      <c r="C58" s="140"/>
      <c r="D58" s="75" t="s">
        <v>109</v>
      </c>
      <c r="E58" s="98" t="s">
        <v>110</v>
      </c>
      <c r="F58" s="76"/>
      <c r="G58" s="75" t="str">
        <f>IF($F$8=" ","",IFERROR(IF($L$9="","",IFERROR(VLOOKUP(IFERROR(VLOOKUP(D58,Notas!B:B,1,FALSE),VLOOKUP(D58,Equivalencia!A:F,5,FALSE)),Notas!B:B,1,FALSE),VLOOKUP(D58,Equivalencia!A:H,8,FALSE))),""))</f>
        <v/>
      </c>
      <c r="H58" s="98" t="str">
        <f>IFERROR(IF($L$9="","",IFERROR(IFERROR(VLOOKUP(G58,Equivalencia!A:B,2,FALSE),VLOOKUP(G58,Equivalencia!E:F,2,FALSE)),VLOOKUP(G58,Equivalencia!H:I,2,FALSE))),"")</f>
        <v/>
      </c>
      <c r="I58" s="112"/>
      <c r="J58" s="78">
        <v>3</v>
      </c>
      <c r="K58" s="79" t="str">
        <f>IF($F$8=" ","",VLOOKUP(G58,Notas!B:K,8,FALSE)/1000)</f>
        <v/>
      </c>
      <c r="L58" s="80" t="str">
        <f>IFERROR(IF(VLOOKUP(G58,Notas!B:K,9,FALSE)=".000","",VLOOKUP(G58,Notas!B:K,9,FALSE)/1000),"")</f>
        <v/>
      </c>
      <c r="M58" s="44"/>
    </row>
    <row r="59" spans="2:13" ht="13.2" customHeight="1" x14ac:dyDescent="0.3">
      <c r="B59" s="42"/>
      <c r="C59" s="141"/>
      <c r="D59" s="118" t="s">
        <v>111</v>
      </c>
      <c r="E59" s="119" t="s">
        <v>112</v>
      </c>
      <c r="F59" s="120"/>
      <c r="G59" s="118" t="str">
        <f>IF($F$8=" ","",IFERROR(IF($L$9="","",IFERROR(VLOOKUP(IFERROR(VLOOKUP(D59,Notas!B:B,1,FALSE),VLOOKUP(D59,Equivalencia!A:F,5,FALSE)),Notas!B:B,1,FALSE),VLOOKUP(D59,Equivalencia!A:H,8,FALSE))),""))</f>
        <v/>
      </c>
      <c r="H59" s="119" t="str">
        <f>IFERROR(IF($L$9="","",IFERROR(IFERROR(VLOOKUP(G59,Equivalencia!A:B,2,FALSE),VLOOKUP(G59,Equivalencia!E:F,2,FALSE)),VLOOKUP(G59,Equivalencia!H:I,2,FALSE))),"")</f>
        <v/>
      </c>
      <c r="I59" s="122"/>
      <c r="J59" s="123">
        <v>3</v>
      </c>
      <c r="K59" s="124" t="str">
        <f>IF($F$8=" ","",VLOOKUP(G59,Notas!B:K,8,FALSE)/1000)</f>
        <v/>
      </c>
      <c r="L59" s="125" t="str">
        <f>IFERROR(IF(VLOOKUP(G59,Notas!B:K,9,FALSE)=".000","",VLOOKUP(G59,Notas!B:K,9,FALSE)/1000),"")</f>
        <v/>
      </c>
      <c r="M59" s="44"/>
    </row>
    <row r="60" spans="2:13" ht="13.2" customHeight="1" x14ac:dyDescent="0.3">
      <c r="B60" s="42"/>
      <c r="C60" s="140" t="s">
        <v>113</v>
      </c>
      <c r="D60" s="90" t="s">
        <v>114</v>
      </c>
      <c r="E60" s="101" t="s">
        <v>115</v>
      </c>
      <c r="F60" s="92"/>
      <c r="G60" s="90" t="str">
        <f>IF($F$8=" ","",IFERROR(IF($L$9="","",IFERROR(VLOOKUP(IFERROR(VLOOKUP(D60,Notas!B:B,1,FALSE),VLOOKUP(D60,Equivalencia!A:F,5,FALSE)),Notas!B:B,1,FALSE),VLOOKUP(D60,Equivalencia!A:H,8,FALSE))),""))</f>
        <v/>
      </c>
      <c r="H60" s="101" t="str">
        <f>IFERROR(IF($L$9="","",IFERROR(IFERROR(VLOOKUP(G60,Equivalencia!A:B,2,FALSE),VLOOKUP(G60,Equivalencia!E:F,2,FALSE)),VLOOKUP(G60,Equivalencia!H:I,2,FALSE))),"")</f>
        <v/>
      </c>
      <c r="I60" s="115"/>
      <c r="J60" s="93">
        <v>2</v>
      </c>
      <c r="K60" s="94" t="str">
        <f>IF($F$8=" ","",VLOOKUP(G60,Notas!B:K,8,FALSE)/1000)</f>
        <v/>
      </c>
      <c r="L60" s="95" t="str">
        <f>IFERROR(IF(VLOOKUP(G60,Notas!B:K,9,FALSE)=".000","",VLOOKUP(G60,Notas!B:K,9,FALSE)/1000),"")</f>
        <v/>
      </c>
      <c r="M60" s="44"/>
    </row>
    <row r="61" spans="2:13" ht="13.2" customHeight="1" x14ac:dyDescent="0.3">
      <c r="B61" s="42"/>
      <c r="C61" s="140"/>
      <c r="D61" s="75" t="s">
        <v>116</v>
      </c>
      <c r="E61" s="98" t="s">
        <v>117</v>
      </c>
      <c r="F61" s="76"/>
      <c r="G61" s="75" t="str">
        <f>IF($F$8=" ","",IFERROR(IF($L$9="","",IFERROR(VLOOKUP(IFERROR(VLOOKUP(D61,Notas!B:B,1,FALSE),VLOOKUP(D61,Equivalencia!A:F,5,FALSE)),Notas!B:B,1,FALSE),VLOOKUP(D61,Equivalencia!A:H,8,FALSE))),""))</f>
        <v/>
      </c>
      <c r="H61" s="98" t="str">
        <f>IFERROR(IF($L$9="","",IFERROR(IFERROR(VLOOKUP(G61,Equivalencia!A:B,2,FALSE),VLOOKUP(G61,Equivalencia!E:F,2,FALSE)),VLOOKUP(G61,Equivalencia!H:I,2,FALSE))),"")</f>
        <v/>
      </c>
      <c r="I61" s="112"/>
      <c r="J61" s="78">
        <v>4</v>
      </c>
      <c r="K61" s="79" t="str">
        <f>IF($F$8=" ","",VLOOKUP(G61,Notas!B:K,8,FALSE)/1000)</f>
        <v/>
      </c>
      <c r="L61" s="80" t="str">
        <f>IFERROR(IF(VLOOKUP(G61,Notas!B:K,9,FALSE)=".000","",VLOOKUP(G61,Notas!B:K,9,FALSE)/1000),"")</f>
        <v/>
      </c>
      <c r="M61" s="44"/>
    </row>
    <row r="62" spans="2:13" ht="13.2" customHeight="1" x14ac:dyDescent="0.3">
      <c r="B62" s="42"/>
      <c r="C62" s="140"/>
      <c r="D62" s="75" t="s">
        <v>118</v>
      </c>
      <c r="E62" s="98" t="s">
        <v>119</v>
      </c>
      <c r="F62" s="76"/>
      <c r="G62" s="75" t="str">
        <f>IF($F$8=" ","",IFERROR(IF($L$9="","",IFERROR(VLOOKUP(IFERROR(VLOOKUP(D62,Notas!B:B,1,FALSE),VLOOKUP(D62,Equivalencia!A:F,5,FALSE)),Notas!B:B,1,FALSE),VLOOKUP(D62,Equivalencia!A:H,8,FALSE))),""))</f>
        <v/>
      </c>
      <c r="H62" s="98" t="str">
        <f>IFERROR(IF($L$9="","",IFERROR(IFERROR(VLOOKUP(G62,Equivalencia!A:B,2,FALSE),VLOOKUP(G62,Equivalencia!E:F,2,FALSE)),VLOOKUP(G62,Equivalencia!H:I,2,FALSE))),"")</f>
        <v/>
      </c>
      <c r="I62" s="112"/>
      <c r="J62" s="78">
        <v>3</v>
      </c>
      <c r="K62" s="79" t="str">
        <f>IF($F$8=" ","",VLOOKUP(G62,Notas!B:K,8,FALSE)/1000)</f>
        <v/>
      </c>
      <c r="L62" s="80" t="str">
        <f>IFERROR(IF(VLOOKUP(G62,Notas!B:K,9,FALSE)=".000","",VLOOKUP(G62,Notas!B:K,9,FALSE)/1000),"")</f>
        <v/>
      </c>
      <c r="M62" s="44"/>
    </row>
    <row r="63" spans="2:13" ht="13.2" customHeight="1" x14ac:dyDescent="0.3">
      <c r="B63" s="42"/>
      <c r="C63" s="140"/>
      <c r="D63" s="75" t="s">
        <v>120</v>
      </c>
      <c r="E63" s="98" t="s">
        <v>121</v>
      </c>
      <c r="F63" s="76"/>
      <c r="G63" s="75" t="str">
        <f>IF($F$8=" ","",IFERROR(IF($L$9="","",IFERROR(VLOOKUP(IFERROR(VLOOKUP(D63,Notas!B:B,1,FALSE),VLOOKUP(D63,Equivalencia!A:F,5,FALSE)),Notas!B:B,1,FALSE),VLOOKUP(D63,Equivalencia!A:H,8,FALSE))),""))</f>
        <v/>
      </c>
      <c r="H63" s="98" t="str">
        <f>IFERROR(IF($L$9="","",IFERROR(IFERROR(VLOOKUP(G63,Equivalencia!A:B,2,FALSE),VLOOKUP(G63,Equivalencia!E:F,2,FALSE)),VLOOKUP(G63,Equivalencia!H:I,2,FALSE))),"")</f>
        <v/>
      </c>
      <c r="I63" s="112"/>
      <c r="J63" s="78">
        <v>3</v>
      </c>
      <c r="K63" s="79" t="str">
        <f>IF($F$8=" ","",VLOOKUP(G63,Notas!B:K,8,FALSE)/1000)</f>
        <v/>
      </c>
      <c r="L63" s="80" t="str">
        <f>IFERROR(IF(VLOOKUP(G63,Notas!B:K,9,FALSE)=".000","",VLOOKUP(G63,Notas!B:K,9,FALSE)/1000),"")</f>
        <v/>
      </c>
      <c r="M63" s="44"/>
    </row>
    <row r="64" spans="2:13" ht="13.2" customHeight="1" x14ac:dyDescent="0.3">
      <c r="B64" s="42"/>
      <c r="C64" s="140"/>
      <c r="D64" s="75" t="s">
        <v>122</v>
      </c>
      <c r="E64" s="98" t="s">
        <v>123</v>
      </c>
      <c r="F64" s="76"/>
      <c r="G64" s="75" t="str">
        <f>IF($F$8=" ","",IFERROR(IF($L$9="","",IFERROR(VLOOKUP(IFERROR(VLOOKUP(D64,Notas!B:B,1,FALSE),VLOOKUP(D64,Equivalencia!A:F,5,FALSE)),Notas!B:B,1,FALSE),VLOOKUP(D64,Equivalencia!A:H,8,FALSE))),""))</f>
        <v/>
      </c>
      <c r="H64" s="98" t="str">
        <f>IFERROR(IF($L$9="","",IFERROR(IFERROR(VLOOKUP(G64,Equivalencia!A:B,2,FALSE),VLOOKUP(G64,Equivalencia!E:F,2,FALSE)),VLOOKUP(G64,Equivalencia!H:I,2,FALSE))),"")</f>
        <v/>
      </c>
      <c r="I64" s="112"/>
      <c r="J64" s="78">
        <v>4</v>
      </c>
      <c r="K64" s="79" t="str">
        <f>IF($F$8=" ","",VLOOKUP(G64,Notas!B:K,8,FALSE)/1000)</f>
        <v/>
      </c>
      <c r="L64" s="80" t="str">
        <f>IFERROR(IF(VLOOKUP(G64,Notas!B:K,9,FALSE)=".000","",VLOOKUP(G64,Notas!B:K,9,FALSE)/1000),"")</f>
        <v/>
      </c>
      <c r="M64" s="44"/>
    </row>
    <row r="65" spans="2:14" ht="13.2" customHeight="1" x14ac:dyDescent="0.3">
      <c r="B65" s="42"/>
      <c r="C65" s="140"/>
      <c r="D65" s="75" t="s">
        <v>124</v>
      </c>
      <c r="E65" s="98" t="s">
        <v>125</v>
      </c>
      <c r="F65" s="76"/>
      <c r="G65" s="75" t="str">
        <f>IF($F$8=" ","",IFERROR(IF($L$9="","",IFERROR(VLOOKUP(IFERROR(VLOOKUP(D65,Notas!B:B,1,FALSE),VLOOKUP(D65,Equivalencia!A:F,5,FALSE)),Notas!B:B,1,FALSE),VLOOKUP(D65,Equivalencia!A:H,8,FALSE))),""))</f>
        <v/>
      </c>
      <c r="H65" s="98" t="str">
        <f>IFERROR(IF($L$9="","",IFERROR(IFERROR(VLOOKUP(G65,Equivalencia!A:B,2,FALSE),VLOOKUP(G65,Equivalencia!E:F,2,FALSE)),VLOOKUP(G65,Equivalencia!H:I,2,FALSE))),"")</f>
        <v/>
      </c>
      <c r="I65" s="112"/>
      <c r="J65" s="78">
        <v>3</v>
      </c>
      <c r="K65" s="79" t="str">
        <f>IF($F$8=" ","",VLOOKUP(G65,Notas!B:K,8,FALSE)/1000)</f>
        <v/>
      </c>
      <c r="L65" s="80" t="str">
        <f>IFERROR(IF(VLOOKUP(G65,Notas!B:K,9,FALSE)=".000","",VLOOKUP(G65,Notas!B:K,9,FALSE)/1000),"")</f>
        <v/>
      </c>
      <c r="M65" s="44"/>
    </row>
    <row r="66" spans="2:14" ht="13.2" customHeight="1" x14ac:dyDescent="0.3">
      <c r="B66" s="42"/>
      <c r="C66" s="140"/>
      <c r="D66" s="75" t="s">
        <v>126</v>
      </c>
      <c r="E66" s="98" t="s">
        <v>127</v>
      </c>
      <c r="F66" s="76"/>
      <c r="G66" s="75" t="str">
        <f>IF($F$8=" ","",IFERROR(IF($L$9="","",IFERROR(VLOOKUP(IFERROR(VLOOKUP(D66,Notas!B:B,1,FALSE),VLOOKUP(D66,Equivalencia!A:F,5,FALSE)),Notas!B:B,1,FALSE),VLOOKUP(D66,Equivalencia!A:H,8,FALSE))),""))</f>
        <v/>
      </c>
      <c r="H66" s="98" t="str">
        <f>IFERROR(IF($L$9="","",IFERROR(IFERROR(VLOOKUP(G66,Equivalencia!A:B,2,FALSE),VLOOKUP(G66,Equivalencia!E:F,2,FALSE)),VLOOKUP(G66,Equivalencia!H:I,2,FALSE))),"")</f>
        <v/>
      </c>
      <c r="I66" s="112"/>
      <c r="J66" s="78">
        <v>4</v>
      </c>
      <c r="K66" s="79" t="str">
        <f>IF($F$8=" ","",VLOOKUP(G66,Notas!B:K,8,FALSE)/1000)</f>
        <v/>
      </c>
      <c r="L66" s="80" t="str">
        <f>IFERROR(IF(VLOOKUP(G66,Notas!B:K,9,FALSE)=".000","",VLOOKUP(G66,Notas!B:K,9,FALSE)/1000),"")</f>
        <v/>
      </c>
      <c r="M66" s="44"/>
    </row>
    <row r="67" spans="2:14" ht="13.2" customHeight="1" x14ac:dyDescent="0.3">
      <c r="B67" s="42"/>
      <c r="C67" s="140"/>
      <c r="D67" s="75" t="s">
        <v>128</v>
      </c>
      <c r="E67" s="98" t="s">
        <v>129</v>
      </c>
      <c r="F67" s="76"/>
      <c r="G67" s="75" t="str">
        <f>IF($F$8=" ","",IFERROR(IF($L$9="","",IFERROR(VLOOKUP(IFERROR(VLOOKUP(D67,Notas!B:B,1,FALSE),VLOOKUP(D67,Equivalencia!A:F,5,FALSE)),Notas!B:B,1,FALSE),VLOOKUP(D67,Equivalencia!A:H,8,FALSE))),""))</f>
        <v/>
      </c>
      <c r="H67" s="98" t="str">
        <f>IFERROR(IF($L$9="","",IFERROR(IFERROR(VLOOKUP(G67,Equivalencia!A:B,2,FALSE),VLOOKUP(G67,Equivalencia!E:F,2,FALSE)),VLOOKUP(G67,Equivalencia!H:I,2,FALSE))),"")</f>
        <v/>
      </c>
      <c r="I67" s="112"/>
      <c r="J67" s="78">
        <v>3</v>
      </c>
      <c r="K67" s="79" t="str">
        <f>IF($F$8=" ","",VLOOKUP(G67,Notas!B:K,8,FALSE)/1000)</f>
        <v/>
      </c>
      <c r="L67" s="80" t="str">
        <f>IFERROR(IF(VLOOKUP(G67,Notas!B:K,9,FALSE)=".000","",VLOOKUP(G67,Notas!B:K,9,FALSE)/1000),"")</f>
        <v/>
      </c>
      <c r="M67" s="44"/>
    </row>
    <row r="68" spans="2:14" ht="13.2" customHeight="1" x14ac:dyDescent="0.3">
      <c r="B68" s="42"/>
      <c r="C68" s="140"/>
      <c r="D68" s="75" t="s">
        <v>130</v>
      </c>
      <c r="E68" s="98" t="s">
        <v>131</v>
      </c>
      <c r="F68" s="76"/>
      <c r="G68" s="75" t="str">
        <f>IF($F$8=" ","",IFERROR(IF($L$9="","",IFERROR(VLOOKUP(IFERROR(VLOOKUP(D68,Notas!B:B,1,FALSE),VLOOKUP(D68,Equivalencia!A:F,5,FALSE)),Notas!B:B,1,FALSE),VLOOKUP(D68,Equivalencia!A:H,8,FALSE))),""))</f>
        <v/>
      </c>
      <c r="H68" s="98" t="str">
        <f>IFERROR(IF($L$9="","",IFERROR(IFERROR(VLOOKUP(G68,Equivalencia!A:B,2,FALSE),VLOOKUP(G68,Equivalencia!E:F,2,FALSE)),VLOOKUP(G68,Equivalencia!H:I,2,FALSE))),"")</f>
        <v/>
      </c>
      <c r="I68" s="112"/>
      <c r="J68" s="78">
        <v>4</v>
      </c>
      <c r="K68" s="79" t="str">
        <f>IF($F$8=" ","",VLOOKUP(G68,Notas!B:K,8,FALSE)/1000)</f>
        <v/>
      </c>
      <c r="L68" s="80" t="str">
        <f>IFERROR(IF(VLOOKUP(G68,Notas!B:K,9,FALSE)=".000","",VLOOKUP(G68,Notas!B:K,9,FALSE)/1000),"")</f>
        <v/>
      </c>
      <c r="M68" s="44"/>
    </row>
    <row r="69" spans="2:14" ht="13.2" customHeight="1" x14ac:dyDescent="0.3">
      <c r="B69" s="42"/>
      <c r="C69" s="142"/>
      <c r="D69" s="85" t="s">
        <v>132</v>
      </c>
      <c r="E69" s="100" t="s">
        <v>133</v>
      </c>
      <c r="F69" s="86"/>
      <c r="G69" s="85" t="str">
        <f>IF($F$8=" ","",IFERROR(IF($L$9="","",IFERROR(VLOOKUP(IFERROR(VLOOKUP(D69,Notas!B:B,1,FALSE),VLOOKUP(D69,Equivalencia!A:F,5,FALSE)),Notas!B:B,1,FALSE),VLOOKUP(D69,Equivalencia!A:H,8,FALSE))),""))</f>
        <v/>
      </c>
      <c r="H69" s="100" t="str">
        <f>IFERROR(IF($L$9="","",IFERROR(IFERROR(VLOOKUP(G69,Equivalencia!A:B,2,FALSE),VLOOKUP(G69,Equivalencia!E:F,2,FALSE)),VLOOKUP(G69,Equivalencia!H:I,2,FALSE))),"")</f>
        <v/>
      </c>
      <c r="I69" s="117"/>
      <c r="J69" s="87">
        <v>1</v>
      </c>
      <c r="K69" s="88" t="str">
        <f>IF($F$8=" ","",VLOOKUP(G69,Notas!B:K,8,FALSE)/1000)</f>
        <v/>
      </c>
      <c r="L69" s="89" t="str">
        <f>IFERROR(IF(VLOOKUP(G69,Notas!B:K,9,FALSE)=".000","",VLOOKUP(G69,Notas!B:K,9,FALSE)/1000),"")</f>
        <v/>
      </c>
      <c r="M69" s="44"/>
    </row>
    <row r="70" spans="2:14" ht="13.2" customHeight="1" x14ac:dyDescent="0.3">
      <c r="B70" s="42"/>
      <c r="C70" s="183" t="s">
        <v>134</v>
      </c>
      <c r="D70" s="184"/>
      <c r="E70" s="184"/>
      <c r="F70" s="185"/>
      <c r="G70" s="90" t="str">
        <f>Optativas!D4</f>
        <v>CS110</v>
      </c>
      <c r="H70" s="189" t="str">
        <f>Optativas!E4</f>
        <v>Legislación Ambiental Marina</v>
      </c>
      <c r="I70" s="190"/>
      <c r="J70" s="93">
        <f>Optativas!F4</f>
        <v>2</v>
      </c>
      <c r="K70" s="94" t="str">
        <f>IF($F$8=" ","",VLOOKUP(G70,Notas!B:K,8,FALSE)/1000)</f>
        <v/>
      </c>
      <c r="L70" s="95" t="str">
        <f>IFERROR(IF(VLOOKUP(G70,Notas!B:K,9,FALSE)=".000","",VLOOKUP(G70,Notas!B:K,9,FALSE)/1000),"")</f>
        <v/>
      </c>
      <c r="M70" s="44"/>
    </row>
    <row r="71" spans="2:14" ht="13.2" customHeight="1" x14ac:dyDescent="0.3">
      <c r="B71" s="42"/>
      <c r="C71" s="186"/>
      <c r="D71" s="187"/>
      <c r="E71" s="187"/>
      <c r="F71" s="188"/>
      <c r="G71" s="75" t="str">
        <f>Optativas!D5</f>
        <v>OF324</v>
      </c>
      <c r="H71" s="191" t="str">
        <f>Optativas!E5</f>
        <v>Contaminación Marina</v>
      </c>
      <c r="I71" s="192"/>
      <c r="J71" s="78">
        <f>Optativas!F5</f>
        <v>2</v>
      </c>
      <c r="K71" s="79" t="str">
        <f>IF($F$8=" ","",VLOOKUP(G71,Notas!B:K,8,FALSE)/1000)</f>
        <v/>
      </c>
      <c r="L71" s="80" t="str">
        <f>IFERROR(IF(VLOOKUP(G71,Notas!B:K,9,FALSE)=".000","",VLOOKUP(G71,Notas!B:K,9,FALSE)/1000),"")</f>
        <v/>
      </c>
      <c r="M71" s="44"/>
    </row>
    <row r="72" spans="2:14" ht="9.4499999999999993" customHeight="1" x14ac:dyDescent="0.3">
      <c r="B72" s="42"/>
      <c r="C72" s="106"/>
      <c r="D72" s="22"/>
      <c r="E72" s="23"/>
      <c r="F72" s="23"/>
      <c r="G72" s="22"/>
      <c r="H72" s="23"/>
      <c r="I72" s="23"/>
      <c r="J72" s="24"/>
      <c r="K72" s="22"/>
      <c r="L72" s="22"/>
      <c r="M72" s="44"/>
      <c r="N72" s="35" t="s">
        <v>0</v>
      </c>
    </row>
    <row r="73" spans="2:14" ht="13.5" customHeight="1" x14ac:dyDescent="0.3">
      <c r="B73" s="42"/>
      <c r="C73" s="200"/>
      <c r="D73" s="201"/>
      <c r="E73" s="201"/>
      <c r="F73" s="201"/>
      <c r="G73" s="201"/>
      <c r="H73" s="201"/>
      <c r="I73" s="202"/>
      <c r="J73" s="194">
        <f>SUM(J12:J71)</f>
        <v>147</v>
      </c>
      <c r="K73" s="195"/>
      <c r="L73" s="196"/>
      <c r="M73" s="44"/>
    </row>
    <row r="74" spans="2:14" ht="13.5" customHeight="1" x14ac:dyDescent="0.3">
      <c r="B74" s="42"/>
      <c r="C74" s="208" t="s">
        <v>135</v>
      </c>
      <c r="D74" s="209"/>
      <c r="E74" s="209"/>
      <c r="F74" s="209"/>
      <c r="G74" s="209"/>
      <c r="H74" s="209"/>
      <c r="I74" s="210"/>
      <c r="J74" s="197">
        <f>IFERROR(SUMPRODUCT(J12:J71,K12:K71)/J73,"")</f>
        <v>0</v>
      </c>
      <c r="K74" s="198"/>
      <c r="L74" s="199"/>
      <c r="M74" s="44"/>
    </row>
    <row r="75" spans="2:14" ht="9.4499999999999993" customHeight="1" x14ac:dyDescent="0.3">
      <c r="B75" s="42"/>
      <c r="C75" s="105"/>
      <c r="D75" s="3"/>
      <c r="E75" s="4"/>
      <c r="F75" s="4"/>
      <c r="G75" s="3"/>
      <c r="H75" s="4"/>
      <c r="I75" s="4"/>
      <c r="J75" s="5"/>
      <c r="K75" s="3"/>
      <c r="L75" s="3"/>
      <c r="M75" s="44"/>
    </row>
    <row r="76" spans="2:14" ht="12.45" customHeight="1" x14ac:dyDescent="0.3">
      <c r="B76" s="42"/>
      <c r="C76" s="109" t="s">
        <v>136</v>
      </c>
      <c r="D76" s="55"/>
      <c r="E76" s="52"/>
      <c r="F76" s="52"/>
      <c r="G76" s="52"/>
      <c r="H76" s="52"/>
      <c r="I76" s="52"/>
      <c r="J76" s="52"/>
      <c r="K76" s="52"/>
      <c r="L76" s="53"/>
      <c r="M76" s="44"/>
    </row>
    <row r="77" spans="2:14" ht="33.75" customHeight="1" x14ac:dyDescent="0.3">
      <c r="B77" s="42"/>
      <c r="C77" s="205"/>
      <c r="D77" s="206"/>
      <c r="E77" s="206"/>
      <c r="F77" s="206"/>
      <c r="G77" s="206"/>
      <c r="H77" s="206"/>
      <c r="I77" s="206"/>
      <c r="J77" s="206"/>
      <c r="K77" s="206"/>
      <c r="L77" s="207"/>
      <c r="M77" s="44"/>
    </row>
    <row r="78" spans="2:14" ht="8.25" customHeight="1" x14ac:dyDescent="0.3">
      <c r="B78" s="42"/>
      <c r="C78" s="107"/>
      <c r="D78" s="56"/>
      <c r="E78" s="50"/>
      <c r="F78" s="50"/>
      <c r="G78" s="50"/>
      <c r="H78" s="50"/>
      <c r="I78" s="50"/>
      <c r="J78" s="50"/>
      <c r="K78" s="50"/>
      <c r="L78" s="50"/>
      <c r="M78" s="44"/>
    </row>
    <row r="79" spans="2:14" ht="14.4" customHeight="1" x14ac:dyDescent="0.3">
      <c r="B79" s="42"/>
      <c r="C79" s="105"/>
      <c r="D79" s="3"/>
      <c r="E79" s="204"/>
      <c r="F79" s="204"/>
      <c r="G79" s="204"/>
      <c r="H79" s="4"/>
      <c r="I79" s="204"/>
      <c r="J79" s="204"/>
      <c r="K79" s="204"/>
      <c r="L79" s="3"/>
      <c r="M79" s="44"/>
    </row>
    <row r="80" spans="2:14" ht="10.5" customHeight="1" x14ac:dyDescent="0.3">
      <c r="B80" s="42"/>
      <c r="C80" s="105"/>
      <c r="D80" s="3"/>
      <c r="E80" s="204"/>
      <c r="F80" s="204"/>
      <c r="G80" s="204"/>
      <c r="H80" s="4"/>
      <c r="I80" s="204"/>
      <c r="J80" s="204"/>
      <c r="K80" s="204"/>
      <c r="L80" s="3"/>
      <c r="M80" s="44"/>
    </row>
    <row r="81" spans="2:13" ht="12" customHeight="1" x14ac:dyDescent="0.3">
      <c r="B81" s="42"/>
      <c r="C81" s="105"/>
      <c r="D81" s="3"/>
      <c r="E81" s="204"/>
      <c r="F81" s="204"/>
      <c r="G81" s="204"/>
      <c r="H81" s="4"/>
      <c r="I81" s="204"/>
      <c r="J81" s="204"/>
      <c r="K81" s="204"/>
      <c r="L81" s="3"/>
      <c r="M81" s="44"/>
    </row>
    <row r="82" spans="2:13" ht="8.25" customHeight="1" x14ac:dyDescent="0.3">
      <c r="B82" s="42"/>
      <c r="C82" s="105"/>
      <c r="D82" s="3"/>
      <c r="E82" s="204"/>
      <c r="F82" s="204"/>
      <c r="G82" s="204"/>
      <c r="H82" s="4"/>
      <c r="I82" s="204"/>
      <c r="J82" s="204"/>
      <c r="K82" s="204"/>
      <c r="L82" s="3"/>
      <c r="M82" s="44"/>
    </row>
    <row r="83" spans="2:13" ht="2.25" customHeight="1" x14ac:dyDescent="0.3">
      <c r="B83" s="42"/>
      <c r="C83" s="105"/>
      <c r="D83" s="3"/>
      <c r="E83" s="33"/>
      <c r="F83" s="33"/>
      <c r="G83" s="33"/>
      <c r="H83" s="4"/>
      <c r="I83" s="33"/>
      <c r="J83" s="33"/>
      <c r="K83" s="33"/>
      <c r="L83" s="3"/>
      <c r="M83" s="44"/>
    </row>
    <row r="84" spans="2:13" ht="13.2" customHeight="1" x14ac:dyDescent="0.3">
      <c r="B84" s="42"/>
      <c r="C84" s="105"/>
      <c r="D84" s="3"/>
      <c r="E84" s="203"/>
      <c r="F84" s="203"/>
      <c r="G84" s="203"/>
      <c r="H84" s="34"/>
      <c r="I84" s="203"/>
      <c r="J84" s="203"/>
      <c r="K84" s="203"/>
      <c r="L84" s="3"/>
      <c r="M84" s="44"/>
    </row>
    <row r="85" spans="2:13" ht="11.7" customHeight="1" x14ac:dyDescent="0.3">
      <c r="B85" s="42"/>
      <c r="C85" s="105"/>
      <c r="D85" s="3"/>
      <c r="E85" s="193" t="s">
        <v>137</v>
      </c>
      <c r="F85" s="193"/>
      <c r="G85" s="193"/>
      <c r="H85" s="34"/>
      <c r="I85" s="193" t="s">
        <v>138</v>
      </c>
      <c r="J85" s="193"/>
      <c r="K85" s="193"/>
      <c r="L85" s="3"/>
      <c r="M85" s="44"/>
    </row>
    <row r="86" spans="2:13" x14ac:dyDescent="0.3">
      <c r="B86" s="42"/>
      <c r="C86" s="105"/>
      <c r="D86" s="3"/>
      <c r="E86" s="4"/>
      <c r="F86" s="4"/>
      <c r="G86" s="3"/>
      <c r="H86" s="4"/>
      <c r="I86" s="4"/>
      <c r="J86" s="5"/>
      <c r="K86" s="3"/>
      <c r="L86" s="3"/>
      <c r="M86" s="44"/>
    </row>
    <row r="87" spans="2:13" x14ac:dyDescent="0.3">
      <c r="B87" s="45"/>
      <c r="C87" s="108"/>
      <c r="D87" s="46"/>
      <c r="E87" s="47"/>
      <c r="F87" s="47"/>
      <c r="G87" s="46"/>
      <c r="H87" s="47"/>
      <c r="I87" s="47"/>
      <c r="J87" s="48"/>
      <c r="K87" s="46"/>
      <c r="L87" s="46"/>
      <c r="M87" s="49"/>
    </row>
  </sheetData>
  <sheetProtection algorithmName="SHA-512" hashValue="gHp7V8zIJHL8nMXnt4PxNhU+4ziBrbBqUlLatrK0g+8rjfbvyvuCMcqMECrY16uiwjI8A1fM2UQO/iqp2hAXdQ==" saltValue="BAAvBKJ0Uy8f/sXa7dd+4g==" spinCount="100000" sheet="1" objects="1" scenarios="1" selectLockedCells="1"/>
  <protectedRanges>
    <protectedRange sqref="C77 E84 I84" name="Editables"/>
  </protectedRanges>
  <mergeCells count="35">
    <mergeCell ref="C70:F71"/>
    <mergeCell ref="H70:I70"/>
    <mergeCell ref="H71:I71"/>
    <mergeCell ref="I85:K85"/>
    <mergeCell ref="J73:L73"/>
    <mergeCell ref="J74:L74"/>
    <mergeCell ref="C73:I73"/>
    <mergeCell ref="I84:K84"/>
    <mergeCell ref="I79:K82"/>
    <mergeCell ref="C77:L77"/>
    <mergeCell ref="C74:I74"/>
    <mergeCell ref="E84:G84"/>
    <mergeCell ref="E85:G85"/>
    <mergeCell ref="E79:G82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C12:C28"/>
    <mergeCell ref="C29:C33"/>
    <mergeCell ref="C34:C37"/>
    <mergeCell ref="C38:C59"/>
    <mergeCell ref="C60:C69"/>
  </mergeCells>
  <phoneticPr fontId="4" type="noConversion"/>
  <conditionalFormatting sqref="F9">
    <cfRule type="cellIs" dxfId="23" priority="19" operator="equal">
      <formula>"-"</formula>
    </cfRule>
    <cfRule type="cellIs" dxfId="22" priority="20" operator="equal">
      <formula>"- "</formula>
    </cfRule>
  </conditionalFormatting>
  <conditionalFormatting sqref="L12:L71">
    <cfRule type="expression" dxfId="21" priority="16">
      <formula>AND(K12&lt;6,L12="")</formula>
    </cfRule>
  </conditionalFormatting>
  <conditionalFormatting sqref="J73:L74">
    <cfRule type="expression" dxfId="20" priority="15">
      <formula>$J$73&lt;&gt;147</formula>
    </cfRule>
  </conditionalFormatting>
  <conditionalFormatting sqref="K78:K88 K2:K76">
    <cfRule type="cellIs" dxfId="19" priority="12" operator="lessThan">
      <formula>6</formula>
    </cfRule>
  </conditionalFormatting>
  <conditionalFormatting sqref="L9">
    <cfRule type="expression" dxfId="18" priority="7">
      <formula>LEN($L$9)=4</formula>
    </cfRule>
  </conditionalFormatting>
  <conditionalFormatting sqref="D75:D76 D78:D1048576 D1:D69 D72">
    <cfRule type="duplicateValues" dxfId="17" priority="42"/>
  </conditionalFormatting>
  <conditionalFormatting sqref="G1:G1048576">
    <cfRule type="cellIs" dxfId="16" priority="2" operator="equal">
      <formula>0</formula>
    </cfRule>
  </conditionalFormatting>
  <conditionalFormatting sqref="K1:K1048576">
    <cfRule type="containsErrors" dxfId="15" priority="43">
      <formula>ISERROR(K1)</formula>
    </cfRule>
  </conditionalFormatting>
  <dataValidations disablePrompts="1" count="6">
    <dataValidation allowBlank="1" showInputMessage="1" showErrorMessage="1" error="NO SE PUEDE MODIFICAR ESTA CELDA" sqref="C76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73:L74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77" orientation="portrait" r:id="rId1"/>
  <ignoredErrors>
    <ignoredError sqref="G33 K33" formula="1"/>
    <ignoredError sqref="K13:K32 K57:K71 K34:K55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  <x14:dataValidation type="list" showInputMessage="1" showErrorMessage="1" xr:uid="{535F303F-66B9-438A-A9F7-04C971E5875C}">
          <x14:formula1>
            <xm:f>Optativas!$E$4:$E$13</xm:f>
          </x14:formula1>
          <xm:sqref>H70:I71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workbookViewId="0"/>
  </sheetViews>
  <sheetFormatPr baseColWidth="10" defaultColWidth="11.44140625" defaultRowHeight="14.4" x14ac:dyDescent="0.3"/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H28" s="1"/>
      <c r="I28" s="1"/>
      <c r="J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  <c r="M41" s="1"/>
      <c r="N41" s="1"/>
      <c r="R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H139" s="1"/>
      <c r="I139" s="1"/>
      <c r="K139" s="1"/>
      <c r="M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showRowColHeaders="0" zoomScaleNormal="100" workbookViewId="0">
      <selection activeCell="E9" sqref="E9"/>
    </sheetView>
  </sheetViews>
  <sheetFormatPr baseColWidth="10" defaultColWidth="11.109375" defaultRowHeight="14.4" x14ac:dyDescent="0.3"/>
  <cols>
    <col min="1" max="1" width="8.44140625" style="13" customWidth="1"/>
    <col min="2" max="2" width="5" style="13" hidden="1" customWidth="1"/>
    <col min="3" max="3" width="6.109375" style="13" hidden="1" customWidth="1"/>
    <col min="4" max="4" width="7.88671875" style="13" customWidth="1"/>
    <col min="5" max="5" width="44.88671875" style="13" customWidth="1"/>
    <col min="6" max="6" width="6.88671875" style="14" customWidth="1"/>
    <col min="7" max="7" width="2.5546875" style="13" customWidth="1"/>
    <col min="8" max="8" width="6.109375" style="13" hidden="1" customWidth="1"/>
    <col min="9" max="9" width="1.44140625" style="13" customWidth="1"/>
    <col min="10" max="16384" width="11.109375" style="13"/>
  </cols>
  <sheetData>
    <row r="1" spans="2:8" ht="37.5" customHeight="1" thickBot="1" x14ac:dyDescent="0.35"/>
    <row r="2" spans="2:8" ht="15" customHeight="1" thickBot="1" x14ac:dyDescent="0.35">
      <c r="B2" s="12"/>
      <c r="C2" s="12"/>
      <c r="D2" s="211" t="s">
        <v>10</v>
      </c>
      <c r="E2" s="212"/>
      <c r="F2" s="213"/>
      <c r="H2" s="12"/>
    </row>
    <row r="3" spans="2:8" ht="15" customHeight="1" thickBot="1" x14ac:dyDescent="0.35">
      <c r="B3" s="12"/>
      <c r="C3" s="12"/>
      <c r="D3" s="11" t="s">
        <v>139</v>
      </c>
      <c r="E3" s="110" t="s">
        <v>140</v>
      </c>
      <c r="F3" s="11" t="s">
        <v>141</v>
      </c>
      <c r="H3" s="12"/>
    </row>
    <row r="4" spans="2:8" ht="15" customHeight="1" x14ac:dyDescent="0.3">
      <c r="B4" s="12"/>
      <c r="C4" s="7" t="e">
        <f>D$2&amp;#REF!</f>
        <v>#REF!</v>
      </c>
      <c r="D4" s="15" t="s">
        <v>142</v>
      </c>
      <c r="E4" s="16" t="s">
        <v>143</v>
      </c>
      <c r="F4" s="15">
        <v>2</v>
      </c>
      <c r="H4" s="7" t="e">
        <f>#REF!&amp;#REF!</f>
        <v>#REF!</v>
      </c>
    </row>
    <row r="5" spans="2:8" ht="15" customHeight="1" x14ac:dyDescent="0.3">
      <c r="B5" s="12"/>
      <c r="C5" s="8" t="e">
        <f>D$2&amp;#REF!</f>
        <v>#REF!</v>
      </c>
      <c r="D5" s="15" t="s">
        <v>144</v>
      </c>
      <c r="E5" s="16" t="s">
        <v>145</v>
      </c>
      <c r="F5" s="15">
        <v>2</v>
      </c>
      <c r="H5" s="8" t="e">
        <f>#REF!&amp;#REF!</f>
        <v>#REF!</v>
      </c>
    </row>
    <row r="6" spans="2:8" ht="15" customHeight="1" x14ac:dyDescent="0.3">
      <c r="B6" s="12"/>
      <c r="C6" s="8" t="e">
        <f>D$2&amp;#REF!</f>
        <v>#REF!</v>
      </c>
      <c r="D6" s="15"/>
      <c r="E6" s="16"/>
      <c r="F6" s="15"/>
      <c r="H6" s="8" t="e">
        <f>#REF!&amp;#REF!</f>
        <v>#REF!</v>
      </c>
    </row>
    <row r="7" spans="2:8" ht="15" customHeight="1" x14ac:dyDescent="0.3">
      <c r="B7" s="12"/>
      <c r="C7" s="8" t="e">
        <f>D$2&amp;#REF!</f>
        <v>#REF!</v>
      </c>
      <c r="D7" s="15"/>
      <c r="E7" s="16"/>
      <c r="F7" s="15"/>
      <c r="H7" s="8" t="e">
        <f>#REF!&amp;#REF!</f>
        <v>#REF!</v>
      </c>
    </row>
    <row r="8" spans="2:8" ht="15" customHeight="1" x14ac:dyDescent="0.3">
      <c r="B8" s="12"/>
      <c r="C8" s="8" t="e">
        <f>D$2&amp;#REF!</f>
        <v>#REF!</v>
      </c>
      <c r="D8" s="15"/>
      <c r="E8" s="16"/>
      <c r="F8" s="15"/>
      <c r="H8" s="8" t="e">
        <f>#REF!&amp;#REF!</f>
        <v>#REF!</v>
      </c>
    </row>
    <row r="9" spans="2:8" ht="15" customHeight="1" x14ac:dyDescent="0.3">
      <c r="B9" s="12"/>
      <c r="C9" s="8" t="e">
        <f>D$2&amp;#REF!</f>
        <v>#REF!</v>
      </c>
      <c r="D9" s="15"/>
      <c r="E9" s="16"/>
      <c r="F9" s="15"/>
      <c r="H9" s="8" t="e">
        <f>#REF!&amp;#REF!</f>
        <v>#REF!</v>
      </c>
    </row>
    <row r="10" spans="2:8" ht="15" customHeight="1" x14ac:dyDescent="0.3">
      <c r="B10" s="12"/>
      <c r="C10" s="8" t="e">
        <f>D$2&amp;#REF!</f>
        <v>#REF!</v>
      </c>
      <c r="D10" s="15"/>
      <c r="E10" s="16"/>
      <c r="F10" s="15"/>
      <c r="H10" s="8" t="e">
        <f>#REF!&amp;#REF!</f>
        <v>#REF!</v>
      </c>
    </row>
    <row r="11" spans="2:8" ht="15" customHeight="1" x14ac:dyDescent="0.3">
      <c r="B11" s="12"/>
      <c r="C11" s="8" t="e">
        <f>D$2&amp;#REF!</f>
        <v>#REF!</v>
      </c>
      <c r="D11" s="15"/>
      <c r="E11" s="16"/>
      <c r="F11" s="15"/>
      <c r="H11" s="8" t="e">
        <f>#REF!&amp;#REF!</f>
        <v>#REF!</v>
      </c>
    </row>
    <row r="12" spans="2:8" ht="15" customHeight="1" x14ac:dyDescent="0.3">
      <c r="B12" s="12"/>
      <c r="C12" s="8" t="e">
        <f>D$2&amp;#REF!</f>
        <v>#REF!</v>
      </c>
      <c r="D12" s="15"/>
      <c r="E12" s="16"/>
      <c r="F12" s="15"/>
      <c r="H12" s="8" t="e">
        <f>#REF!&amp;#REF!</f>
        <v>#REF!</v>
      </c>
    </row>
    <row r="13" spans="2:8" ht="15" customHeight="1" thickBot="1" x14ac:dyDescent="0.35">
      <c r="B13" s="12"/>
      <c r="C13" s="9" t="e">
        <f>D$2&amp;#REF!</f>
        <v>#REF!</v>
      </c>
      <c r="D13" s="17"/>
      <c r="E13" s="18"/>
      <c r="F13" s="17"/>
      <c r="H13" s="9" t="e">
        <f>#REF!&amp;#REF!</f>
        <v>#REF!</v>
      </c>
    </row>
    <row r="14" spans="2:8" ht="15" customHeight="1" x14ac:dyDescent="0.3"/>
  </sheetData>
  <sheetProtection algorithmName="SHA-512" hashValue="z+Fv3/CB1YgZKfSiiTFGJFudDpCNEtnXoE1m1KU/ARVhHwVN6gMz9joUOS7Q7O4oacXRTlRXOVSdf0O+HlPV5Q==" saltValue="x379YFPGt5niucs89HliCw==" spinCount="100000"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07"/>
  <sheetViews>
    <sheetView showGridLines="0" zoomScale="115" zoomScaleNormal="115" workbookViewId="0">
      <pane ySplit="1" topLeftCell="A45" activePane="bottomLeft" state="frozen"/>
      <selection pane="bottomLeft" activeCell="I52" sqref="I52"/>
    </sheetView>
  </sheetViews>
  <sheetFormatPr baseColWidth="10" defaultColWidth="11.109375" defaultRowHeight="14.4" x14ac:dyDescent="0.3"/>
  <cols>
    <col min="1" max="1" width="10.44140625" style="32" customWidth="1"/>
    <col min="2" max="2" width="30.88671875" style="28" customWidth="1"/>
    <col min="3" max="3" width="10.44140625" style="32" customWidth="1"/>
    <col min="4" max="4" width="1.88671875" style="32" customWidth="1"/>
    <col min="5" max="5" width="10.44140625" style="32" customWidth="1"/>
    <col min="6" max="6" width="30.88671875" style="28" customWidth="1"/>
    <col min="7" max="7" width="1.88671875" style="32" customWidth="1"/>
    <col min="8" max="8" width="10.44140625" style="32" customWidth="1"/>
    <col min="9" max="9" width="34.109375" style="28" customWidth="1"/>
    <col min="10" max="16384" width="11.109375" style="28"/>
  </cols>
  <sheetData>
    <row r="1" spans="1:9" x14ac:dyDescent="0.3">
      <c r="A1" s="10" t="s">
        <v>146</v>
      </c>
      <c r="B1" s="6" t="s">
        <v>140</v>
      </c>
      <c r="C1" s="10"/>
      <c r="D1" s="54"/>
      <c r="E1" s="10" t="s">
        <v>146</v>
      </c>
      <c r="F1" s="27" t="s">
        <v>140</v>
      </c>
      <c r="G1" s="54"/>
      <c r="H1" s="10" t="s">
        <v>146</v>
      </c>
      <c r="I1" s="27" t="s">
        <v>140</v>
      </c>
    </row>
    <row r="2" spans="1:9" x14ac:dyDescent="0.3">
      <c r="A2" s="29" t="s">
        <v>69</v>
      </c>
      <c r="B2" s="31" t="s">
        <v>147</v>
      </c>
      <c r="C2" s="29"/>
      <c r="D2" s="59"/>
      <c r="E2" s="29" t="s">
        <v>148</v>
      </c>
      <c r="F2" s="31" t="s">
        <v>147</v>
      </c>
      <c r="G2" s="59"/>
      <c r="H2" s="29" t="s">
        <v>149</v>
      </c>
      <c r="I2" s="31" t="s">
        <v>70</v>
      </c>
    </row>
    <row r="3" spans="1:9" x14ac:dyDescent="0.3">
      <c r="A3" s="29" t="s">
        <v>71</v>
      </c>
      <c r="B3" s="30" t="s">
        <v>72</v>
      </c>
      <c r="C3" s="29"/>
      <c r="D3" s="59"/>
      <c r="E3" s="29"/>
      <c r="F3" s="31"/>
      <c r="G3" s="59"/>
      <c r="H3" s="29"/>
      <c r="I3" s="31"/>
    </row>
    <row r="4" spans="1:9" x14ac:dyDescent="0.3">
      <c r="A4" s="29" t="s">
        <v>150</v>
      </c>
      <c r="B4" s="30" t="s">
        <v>151</v>
      </c>
      <c r="C4" s="29"/>
      <c r="D4" s="59"/>
      <c r="E4" s="29"/>
      <c r="F4" s="31"/>
      <c r="G4" s="59"/>
      <c r="H4" s="29"/>
      <c r="I4" s="31"/>
    </row>
    <row r="5" spans="1:9" x14ac:dyDescent="0.3">
      <c r="A5" s="29" t="s">
        <v>152</v>
      </c>
      <c r="B5" s="30" t="s">
        <v>153</v>
      </c>
      <c r="C5" s="29"/>
      <c r="D5" s="59"/>
      <c r="E5" s="29" t="s">
        <v>154</v>
      </c>
      <c r="F5" s="31" t="s">
        <v>155</v>
      </c>
      <c r="G5" s="59"/>
      <c r="H5" s="29" t="s">
        <v>156</v>
      </c>
      <c r="I5" s="31" t="s">
        <v>157</v>
      </c>
    </row>
    <row r="6" spans="1:9" x14ac:dyDescent="0.3">
      <c r="A6" s="29" t="s">
        <v>158</v>
      </c>
      <c r="B6" s="30" t="s">
        <v>159</v>
      </c>
      <c r="C6" s="29"/>
      <c r="D6" s="59"/>
      <c r="E6" s="29"/>
      <c r="F6" s="31"/>
      <c r="G6" s="59"/>
      <c r="H6" s="29"/>
      <c r="I6" s="31"/>
    </row>
    <row r="7" spans="1:9" x14ac:dyDescent="0.3">
      <c r="A7" s="29" t="s">
        <v>18</v>
      </c>
      <c r="B7" s="30" t="s">
        <v>160</v>
      </c>
      <c r="C7" s="29"/>
      <c r="D7" s="59"/>
      <c r="E7" s="29"/>
      <c r="F7" s="31"/>
      <c r="G7" s="59"/>
      <c r="H7" s="29"/>
      <c r="I7" s="31"/>
    </row>
    <row r="8" spans="1:9" x14ac:dyDescent="0.3">
      <c r="A8" s="29" t="s">
        <v>26</v>
      </c>
      <c r="B8" s="30" t="s">
        <v>161</v>
      </c>
      <c r="C8" s="29"/>
      <c r="D8" s="59"/>
      <c r="E8" s="29"/>
      <c r="F8" s="31"/>
      <c r="G8" s="59"/>
      <c r="H8" s="29"/>
      <c r="I8" s="31"/>
    </row>
    <row r="9" spans="1:9" x14ac:dyDescent="0.3">
      <c r="A9" s="29" t="s">
        <v>20</v>
      </c>
      <c r="B9" s="31" t="s">
        <v>162</v>
      </c>
      <c r="C9" s="29"/>
      <c r="D9" s="59"/>
      <c r="E9" s="29" t="s">
        <v>163</v>
      </c>
      <c r="F9" s="30" t="s">
        <v>164</v>
      </c>
      <c r="G9" s="59"/>
      <c r="H9" s="29"/>
      <c r="I9" s="30"/>
    </row>
    <row r="10" spans="1:9" x14ac:dyDescent="0.3">
      <c r="A10" s="29" t="s">
        <v>21</v>
      </c>
      <c r="B10" s="31" t="s">
        <v>165</v>
      </c>
      <c r="C10" s="29"/>
      <c r="D10" s="59"/>
      <c r="E10" s="29" t="s">
        <v>166</v>
      </c>
      <c r="F10" s="30" t="s">
        <v>167</v>
      </c>
      <c r="G10" s="59"/>
      <c r="H10" s="29"/>
      <c r="I10" s="30"/>
    </row>
    <row r="11" spans="1:9" x14ac:dyDescent="0.3">
      <c r="A11" s="29" t="s">
        <v>34</v>
      </c>
      <c r="B11" s="30" t="s">
        <v>168</v>
      </c>
      <c r="C11" s="29"/>
      <c r="D11" s="59"/>
      <c r="E11" s="29" t="s">
        <v>169</v>
      </c>
      <c r="F11" s="31" t="s">
        <v>170</v>
      </c>
      <c r="G11" s="59"/>
      <c r="H11" s="29"/>
      <c r="I11" s="31"/>
    </row>
    <row r="12" spans="1:9" x14ac:dyDescent="0.3">
      <c r="A12" s="29" t="s">
        <v>32</v>
      </c>
      <c r="B12" s="31" t="s">
        <v>171</v>
      </c>
      <c r="C12" s="29"/>
      <c r="D12" s="59"/>
      <c r="E12" s="29"/>
      <c r="F12" s="31"/>
      <c r="G12" s="59"/>
      <c r="H12" s="29"/>
      <c r="I12" s="31"/>
    </row>
    <row r="13" spans="1:9" x14ac:dyDescent="0.3">
      <c r="A13" s="29" t="s">
        <v>45</v>
      </c>
      <c r="B13" s="30" t="s">
        <v>172</v>
      </c>
      <c r="C13" s="29"/>
      <c r="D13" s="59"/>
      <c r="E13" s="29"/>
      <c r="F13" s="31"/>
      <c r="G13" s="59"/>
      <c r="H13" s="29"/>
      <c r="I13" s="31"/>
    </row>
    <row r="14" spans="1:9" x14ac:dyDescent="0.3">
      <c r="A14" s="29" t="s">
        <v>47</v>
      </c>
      <c r="B14" s="30" t="s">
        <v>48</v>
      </c>
      <c r="C14" s="29"/>
      <c r="D14" s="59"/>
      <c r="E14" s="29" t="s">
        <v>173</v>
      </c>
      <c r="F14" s="31" t="s">
        <v>174</v>
      </c>
      <c r="G14" s="59"/>
      <c r="H14" s="29" t="s">
        <v>175</v>
      </c>
      <c r="I14" s="31" t="s">
        <v>174</v>
      </c>
    </row>
    <row r="15" spans="1:9" x14ac:dyDescent="0.3">
      <c r="A15" s="29" t="s">
        <v>43</v>
      </c>
      <c r="B15" s="31" t="s">
        <v>176</v>
      </c>
      <c r="C15" s="29"/>
      <c r="D15" s="59"/>
      <c r="E15" s="29" t="s">
        <v>177</v>
      </c>
      <c r="F15" s="30" t="s">
        <v>176</v>
      </c>
      <c r="G15" s="59"/>
      <c r="H15" s="29"/>
      <c r="I15" s="31"/>
    </row>
    <row r="16" spans="1:9" x14ac:dyDescent="0.3">
      <c r="A16" s="29" t="s">
        <v>178</v>
      </c>
      <c r="B16" s="30" t="s">
        <v>179</v>
      </c>
      <c r="C16" s="29"/>
      <c r="D16" s="59"/>
      <c r="E16" s="29"/>
      <c r="F16" s="31"/>
      <c r="G16" s="59"/>
      <c r="H16" s="29"/>
      <c r="I16" s="30"/>
    </row>
    <row r="17" spans="1:9" x14ac:dyDescent="0.3">
      <c r="A17" s="29" t="s">
        <v>79</v>
      </c>
      <c r="B17" s="30" t="s">
        <v>80</v>
      </c>
      <c r="C17" s="29"/>
      <c r="D17" s="59"/>
      <c r="E17" s="29"/>
      <c r="F17" s="31"/>
      <c r="G17" s="59"/>
      <c r="H17" s="29"/>
      <c r="I17" s="31"/>
    </row>
    <row r="18" spans="1:9" x14ac:dyDescent="0.3">
      <c r="A18" s="29" t="s">
        <v>83</v>
      </c>
      <c r="B18" s="30" t="s">
        <v>84</v>
      </c>
      <c r="C18" s="29"/>
      <c r="D18" s="59"/>
      <c r="E18" s="29"/>
      <c r="F18" s="31"/>
      <c r="G18" s="59"/>
      <c r="H18" s="29"/>
      <c r="I18" s="31"/>
    </row>
    <row r="19" spans="1:9" x14ac:dyDescent="0.3">
      <c r="A19" s="29" t="s">
        <v>180</v>
      </c>
      <c r="B19" s="30" t="s">
        <v>82</v>
      </c>
      <c r="C19" s="29"/>
      <c r="D19" s="59"/>
      <c r="E19" s="29" t="s">
        <v>81</v>
      </c>
      <c r="F19" s="31" t="s">
        <v>82</v>
      </c>
      <c r="G19" s="59"/>
      <c r="H19" s="29"/>
      <c r="I19" s="31"/>
    </row>
    <row r="20" spans="1:9" x14ac:dyDescent="0.3">
      <c r="A20" s="29" t="s">
        <v>181</v>
      </c>
      <c r="B20" s="30" t="s">
        <v>182</v>
      </c>
      <c r="C20" s="29"/>
      <c r="D20" s="59"/>
      <c r="E20" s="29"/>
      <c r="F20" s="31"/>
      <c r="G20" s="59"/>
      <c r="H20" s="29"/>
      <c r="I20" s="31"/>
    </row>
    <row r="21" spans="1:9" x14ac:dyDescent="0.3">
      <c r="A21" s="29" t="s">
        <v>183</v>
      </c>
      <c r="B21" s="30" t="s">
        <v>184</v>
      </c>
      <c r="C21" s="29"/>
      <c r="D21" s="59"/>
      <c r="E21" s="29" t="s">
        <v>185</v>
      </c>
      <c r="F21" s="31" t="s">
        <v>184</v>
      </c>
      <c r="G21" s="59"/>
      <c r="H21" s="29"/>
      <c r="I21" s="31"/>
    </row>
    <row r="22" spans="1:9" x14ac:dyDescent="0.3">
      <c r="A22" s="29" t="s">
        <v>186</v>
      </c>
      <c r="B22" s="30" t="s">
        <v>187</v>
      </c>
      <c r="C22" s="29"/>
      <c r="D22" s="59"/>
      <c r="E22" s="29" t="s">
        <v>85</v>
      </c>
      <c r="F22" s="31" t="s">
        <v>187</v>
      </c>
      <c r="G22" s="59"/>
      <c r="H22" s="29"/>
      <c r="I22" s="31"/>
    </row>
    <row r="23" spans="1:9" x14ac:dyDescent="0.3">
      <c r="A23" s="29" t="s">
        <v>188</v>
      </c>
      <c r="B23" s="30" t="s">
        <v>189</v>
      </c>
      <c r="C23" s="29"/>
      <c r="D23" s="59"/>
      <c r="E23" s="29"/>
      <c r="F23" s="31"/>
      <c r="G23" s="59"/>
      <c r="H23" s="29"/>
      <c r="I23" s="31"/>
    </row>
    <row r="24" spans="1:9" x14ac:dyDescent="0.3">
      <c r="A24" s="29" t="s">
        <v>190</v>
      </c>
      <c r="B24" s="30" t="s">
        <v>191</v>
      </c>
      <c r="C24" s="29"/>
      <c r="D24" s="59"/>
      <c r="E24" s="29"/>
      <c r="F24" s="31"/>
      <c r="G24" s="59"/>
      <c r="H24" s="29"/>
      <c r="I24" s="31"/>
    </row>
    <row r="25" spans="1:9" x14ac:dyDescent="0.3">
      <c r="A25" s="29" t="s">
        <v>87</v>
      </c>
      <c r="B25" s="30" t="s">
        <v>192</v>
      </c>
      <c r="C25" s="29"/>
      <c r="D25" s="59"/>
      <c r="E25" s="29"/>
      <c r="F25" s="31"/>
      <c r="G25" s="59"/>
      <c r="H25" s="29"/>
      <c r="I25" s="31"/>
    </row>
    <row r="26" spans="1:9" x14ac:dyDescent="0.3">
      <c r="A26" s="29" t="s">
        <v>193</v>
      </c>
      <c r="B26" s="30" t="s">
        <v>194</v>
      </c>
      <c r="C26" s="29"/>
      <c r="D26" s="59"/>
      <c r="E26" s="29"/>
      <c r="F26" s="31"/>
      <c r="G26" s="59"/>
      <c r="H26" s="29"/>
      <c r="I26" s="31"/>
    </row>
    <row r="27" spans="1:9" x14ac:dyDescent="0.3">
      <c r="A27" s="29" t="s">
        <v>195</v>
      </c>
      <c r="B27" s="30" t="s">
        <v>196</v>
      </c>
      <c r="C27" s="29"/>
      <c r="D27" s="59"/>
      <c r="E27" s="29" t="s">
        <v>89</v>
      </c>
      <c r="F27" s="31" t="s">
        <v>197</v>
      </c>
      <c r="G27" s="59"/>
      <c r="H27" s="29"/>
      <c r="I27" s="31"/>
    </row>
    <row r="28" spans="1:9" x14ac:dyDescent="0.3">
      <c r="A28" s="29" t="s">
        <v>198</v>
      </c>
      <c r="B28" s="30" t="s">
        <v>199</v>
      </c>
      <c r="C28" s="29"/>
      <c r="D28" s="59"/>
      <c r="E28" s="29"/>
      <c r="F28" s="31"/>
      <c r="G28" s="59"/>
      <c r="H28" s="29"/>
      <c r="I28" s="31"/>
    </row>
    <row r="29" spans="1:9" x14ac:dyDescent="0.3">
      <c r="A29" s="29" t="s">
        <v>200</v>
      </c>
      <c r="B29" s="30" t="s">
        <v>201</v>
      </c>
      <c r="C29" s="29"/>
      <c r="D29" s="59"/>
      <c r="E29" s="29" t="s">
        <v>202</v>
      </c>
      <c r="F29" s="31" t="s">
        <v>201</v>
      </c>
      <c r="G29" s="59"/>
      <c r="H29" s="29"/>
      <c r="I29" s="31"/>
    </row>
    <row r="30" spans="1:9" x14ac:dyDescent="0.3">
      <c r="A30" s="29" t="s">
        <v>203</v>
      </c>
      <c r="B30" s="30" t="s">
        <v>204</v>
      </c>
      <c r="C30" s="29"/>
      <c r="D30" s="59"/>
      <c r="E30" s="29" t="s">
        <v>205</v>
      </c>
      <c r="F30" s="31" t="s">
        <v>206</v>
      </c>
      <c r="G30" s="59"/>
      <c r="H30" s="29"/>
      <c r="I30" s="31"/>
    </row>
    <row r="31" spans="1:9" x14ac:dyDescent="0.3">
      <c r="A31" s="29" t="s">
        <v>207</v>
      </c>
      <c r="B31" s="30" t="s">
        <v>208</v>
      </c>
      <c r="C31" s="29"/>
      <c r="D31" s="59"/>
      <c r="E31" s="29"/>
      <c r="F31" s="31"/>
      <c r="G31" s="59"/>
      <c r="H31" s="29"/>
      <c r="I31" s="31"/>
    </row>
    <row r="32" spans="1:9" x14ac:dyDescent="0.3">
      <c r="A32" s="29" t="s">
        <v>49</v>
      </c>
      <c r="B32" s="30" t="s">
        <v>209</v>
      </c>
      <c r="C32" s="29"/>
      <c r="D32" s="59"/>
      <c r="E32" s="29" t="s">
        <v>210</v>
      </c>
      <c r="F32" s="31" t="s">
        <v>211</v>
      </c>
      <c r="G32" s="59"/>
      <c r="H32" s="29" t="s">
        <v>212</v>
      </c>
      <c r="I32" s="30" t="s">
        <v>213</v>
      </c>
    </row>
    <row r="33" spans="1:9" x14ac:dyDescent="0.3">
      <c r="A33" s="29" t="s">
        <v>51</v>
      </c>
      <c r="B33" s="30" t="s">
        <v>52</v>
      </c>
      <c r="C33" s="29"/>
      <c r="D33" s="59"/>
      <c r="E33" s="29"/>
      <c r="F33" s="31"/>
      <c r="G33" s="59"/>
      <c r="H33" s="29"/>
      <c r="I33" s="31"/>
    </row>
    <row r="34" spans="1:9" x14ac:dyDescent="0.3">
      <c r="A34" s="29" t="s">
        <v>214</v>
      </c>
      <c r="B34" s="30" t="s">
        <v>215</v>
      </c>
      <c r="C34" s="29"/>
      <c r="D34" s="59"/>
      <c r="E34" s="29" t="s">
        <v>216</v>
      </c>
      <c r="F34" s="31" t="s">
        <v>215</v>
      </c>
      <c r="G34" s="59"/>
      <c r="H34" s="29"/>
      <c r="I34" s="31"/>
    </row>
    <row r="35" spans="1:9" x14ac:dyDescent="0.3">
      <c r="A35" s="29" t="s">
        <v>217</v>
      </c>
      <c r="B35" s="30" t="s">
        <v>218</v>
      </c>
      <c r="C35" s="29"/>
      <c r="D35" s="59"/>
      <c r="E35" s="29"/>
      <c r="F35" s="31"/>
      <c r="G35" s="59"/>
      <c r="H35" s="29"/>
      <c r="I35" s="31"/>
    </row>
    <row r="36" spans="1:9" x14ac:dyDescent="0.3">
      <c r="A36" s="29" t="s">
        <v>219</v>
      </c>
      <c r="B36" s="30" t="s">
        <v>220</v>
      </c>
      <c r="C36" s="29"/>
      <c r="D36" s="59"/>
      <c r="E36" s="29"/>
      <c r="F36" s="31"/>
      <c r="G36" s="59"/>
      <c r="H36" s="29"/>
      <c r="I36" s="31"/>
    </row>
    <row r="37" spans="1:9" x14ac:dyDescent="0.3">
      <c r="A37" s="29" t="s">
        <v>221</v>
      </c>
      <c r="B37" s="30" t="s">
        <v>143</v>
      </c>
      <c r="C37" s="29"/>
      <c r="D37" s="59"/>
      <c r="E37" s="29" t="s">
        <v>142</v>
      </c>
      <c r="F37" s="31" t="s">
        <v>143</v>
      </c>
      <c r="G37" s="59"/>
      <c r="H37" s="29"/>
      <c r="I37" s="31"/>
    </row>
    <row r="38" spans="1:9" x14ac:dyDescent="0.3">
      <c r="A38" s="29" t="s">
        <v>222</v>
      </c>
      <c r="B38" s="30" t="s">
        <v>223</v>
      </c>
      <c r="C38" s="29"/>
      <c r="D38" s="59"/>
      <c r="E38" s="29"/>
      <c r="F38" s="31"/>
      <c r="G38" s="59"/>
      <c r="H38" s="29"/>
      <c r="I38" s="31"/>
    </row>
    <row r="39" spans="1:9" x14ac:dyDescent="0.3">
      <c r="A39" s="29" t="s">
        <v>224</v>
      </c>
      <c r="B39" s="30" t="s">
        <v>225</v>
      </c>
      <c r="C39" s="29"/>
      <c r="D39" s="59"/>
      <c r="E39" s="29" t="s">
        <v>226</v>
      </c>
      <c r="F39" s="31" t="s">
        <v>227</v>
      </c>
      <c r="G39" s="59"/>
      <c r="H39" s="29"/>
      <c r="I39" s="31"/>
    </row>
    <row r="40" spans="1:9" x14ac:dyDescent="0.3">
      <c r="A40" s="29" t="s">
        <v>60</v>
      </c>
      <c r="B40" s="30" t="s">
        <v>61</v>
      </c>
      <c r="C40" s="29"/>
      <c r="D40" s="59"/>
      <c r="E40" s="29"/>
      <c r="F40" s="31"/>
      <c r="G40" s="59"/>
      <c r="H40" s="29"/>
      <c r="I40" s="31"/>
    </row>
    <row r="41" spans="1:9" x14ac:dyDescent="0.3">
      <c r="A41" s="29" t="s">
        <v>228</v>
      </c>
      <c r="B41" s="30" t="s">
        <v>229</v>
      </c>
      <c r="C41" s="29"/>
      <c r="D41" s="59"/>
      <c r="E41" s="29"/>
      <c r="F41" s="31"/>
      <c r="G41" s="59"/>
      <c r="H41" s="29"/>
      <c r="I41" s="31"/>
    </row>
    <row r="42" spans="1:9" x14ac:dyDescent="0.3">
      <c r="A42" s="29" t="s">
        <v>57</v>
      </c>
      <c r="B42" s="30" t="s">
        <v>230</v>
      </c>
      <c r="C42" s="29"/>
      <c r="D42" s="59"/>
      <c r="E42" s="29"/>
      <c r="F42" s="31"/>
      <c r="G42" s="59"/>
      <c r="H42" s="29"/>
      <c r="I42" s="31"/>
    </row>
    <row r="43" spans="1:9" x14ac:dyDescent="0.3">
      <c r="A43" s="29" t="s">
        <v>231</v>
      </c>
      <c r="B43" s="30" t="s">
        <v>232</v>
      </c>
      <c r="C43" s="29"/>
      <c r="D43" s="59"/>
      <c r="E43" s="29"/>
      <c r="F43" s="31"/>
      <c r="G43" s="59"/>
      <c r="H43" s="29"/>
      <c r="I43" s="31"/>
    </row>
    <row r="44" spans="1:9" x14ac:dyDescent="0.3">
      <c r="A44" s="29" t="s">
        <v>233</v>
      </c>
      <c r="B44" s="30" t="s">
        <v>234</v>
      </c>
      <c r="C44" s="29"/>
      <c r="D44" s="59"/>
      <c r="E44" s="29"/>
      <c r="F44" s="31"/>
      <c r="G44" s="59"/>
      <c r="H44" s="29"/>
      <c r="I44" s="31"/>
    </row>
    <row r="45" spans="1:9" x14ac:dyDescent="0.3">
      <c r="A45" s="29" t="s">
        <v>235</v>
      </c>
      <c r="B45" s="30" t="s">
        <v>236</v>
      </c>
      <c r="C45" s="29"/>
      <c r="D45" s="59"/>
      <c r="E45" s="29"/>
      <c r="F45" s="31"/>
      <c r="G45" s="59"/>
      <c r="H45" s="29"/>
      <c r="I45" s="31"/>
    </row>
    <row r="46" spans="1:9" x14ac:dyDescent="0.3">
      <c r="A46" s="29" t="s">
        <v>237</v>
      </c>
      <c r="B46" s="30" t="s">
        <v>238</v>
      </c>
      <c r="C46" s="29"/>
      <c r="D46" s="59"/>
      <c r="E46" s="29"/>
      <c r="F46" s="31"/>
      <c r="G46" s="59"/>
      <c r="H46" s="29"/>
      <c r="I46" s="31"/>
    </row>
    <row r="47" spans="1:9" x14ac:dyDescent="0.3">
      <c r="A47" s="29" t="s">
        <v>239</v>
      </c>
      <c r="B47" s="30" t="s">
        <v>240</v>
      </c>
      <c r="C47" s="29"/>
      <c r="D47" s="59"/>
      <c r="E47" s="29"/>
      <c r="F47" s="31"/>
      <c r="G47" s="59"/>
      <c r="H47" s="29"/>
      <c r="I47" s="31"/>
    </row>
    <row r="48" spans="1:9" x14ac:dyDescent="0.3">
      <c r="A48" s="29" t="s">
        <v>241</v>
      </c>
      <c r="B48" s="30" t="s">
        <v>242</v>
      </c>
      <c r="C48" s="29"/>
      <c r="D48" s="59"/>
      <c r="E48" s="29"/>
      <c r="F48" s="31"/>
      <c r="G48" s="59"/>
      <c r="H48" s="29"/>
      <c r="I48" s="31"/>
    </row>
    <row r="49" spans="1:9" x14ac:dyDescent="0.3">
      <c r="A49" s="29" t="s">
        <v>243</v>
      </c>
      <c r="B49" s="30" t="s">
        <v>244</v>
      </c>
      <c r="C49" s="29"/>
      <c r="D49" s="59"/>
      <c r="E49" s="29"/>
      <c r="F49" s="31"/>
      <c r="G49" s="59"/>
      <c r="H49" s="29"/>
      <c r="I49" s="31"/>
    </row>
    <row r="50" spans="1:9" x14ac:dyDescent="0.3">
      <c r="A50" s="29" t="s">
        <v>245</v>
      </c>
      <c r="B50" s="30" t="s">
        <v>246</v>
      </c>
      <c r="C50" s="29"/>
      <c r="D50" s="59"/>
      <c r="E50" s="29"/>
      <c r="F50" s="31"/>
      <c r="G50" s="59"/>
      <c r="H50" s="29"/>
      <c r="I50" s="31"/>
    </row>
    <row r="51" spans="1:9" x14ac:dyDescent="0.3">
      <c r="A51" s="29" t="s">
        <v>247</v>
      </c>
      <c r="B51" s="30" t="s">
        <v>248</v>
      </c>
      <c r="C51" s="29"/>
      <c r="D51" s="59"/>
      <c r="E51" s="29"/>
      <c r="F51" s="31"/>
      <c r="G51" s="59"/>
      <c r="H51" s="29"/>
      <c r="I51" s="31"/>
    </row>
    <row r="52" spans="1:9" x14ac:dyDescent="0.3">
      <c r="A52" s="29" t="s">
        <v>249</v>
      </c>
      <c r="B52" s="30" t="s">
        <v>250</v>
      </c>
      <c r="C52" s="29"/>
      <c r="D52" s="59"/>
      <c r="E52" s="29"/>
      <c r="F52" s="31"/>
      <c r="G52" s="59"/>
      <c r="H52" s="29"/>
      <c r="I52" s="31"/>
    </row>
    <row r="53" spans="1:9" x14ac:dyDescent="0.3">
      <c r="A53" s="29" t="s">
        <v>251</v>
      </c>
      <c r="B53" s="30" t="s">
        <v>252</v>
      </c>
      <c r="C53" s="29"/>
      <c r="D53" s="59"/>
      <c r="E53" s="29"/>
      <c r="F53" s="31"/>
      <c r="G53" s="59"/>
      <c r="H53" s="29"/>
      <c r="I53" s="31"/>
    </row>
    <row r="54" spans="1:9" x14ac:dyDescent="0.3">
      <c r="A54" s="29" t="s">
        <v>253</v>
      </c>
      <c r="B54" s="30" t="s">
        <v>254</v>
      </c>
      <c r="C54" s="29"/>
      <c r="D54" s="59"/>
      <c r="E54" s="29" t="s">
        <v>255</v>
      </c>
      <c r="F54" s="31" t="s">
        <v>256</v>
      </c>
      <c r="G54" s="59"/>
      <c r="H54" s="29" t="s">
        <v>241</v>
      </c>
      <c r="I54" s="31" t="s">
        <v>242</v>
      </c>
    </row>
    <row r="55" spans="1:9" x14ac:dyDescent="0.3">
      <c r="A55" s="29" t="s">
        <v>53</v>
      </c>
      <c r="B55" s="31" t="s">
        <v>54</v>
      </c>
      <c r="C55" s="29"/>
      <c r="D55" s="59"/>
      <c r="E55" s="29" t="s">
        <v>257</v>
      </c>
      <c r="F55" s="30" t="s">
        <v>54</v>
      </c>
      <c r="G55" s="59"/>
      <c r="H55" s="29"/>
      <c r="I55" s="30"/>
    </row>
    <row r="56" spans="1:9" x14ac:dyDescent="0.3">
      <c r="A56" s="29" t="s">
        <v>55</v>
      </c>
      <c r="B56" s="30" t="s">
        <v>258</v>
      </c>
      <c r="C56" s="29"/>
      <c r="D56" s="59"/>
      <c r="E56" s="29" t="s">
        <v>259</v>
      </c>
      <c r="F56" s="31" t="s">
        <v>56</v>
      </c>
      <c r="G56" s="59"/>
      <c r="H56" s="29" t="s">
        <v>260</v>
      </c>
      <c r="I56" s="31" t="s">
        <v>56</v>
      </c>
    </row>
    <row r="57" spans="1:9" x14ac:dyDescent="0.3">
      <c r="A57" s="29" t="s">
        <v>260</v>
      </c>
      <c r="B57" s="31" t="s">
        <v>56</v>
      </c>
      <c r="C57" s="29"/>
      <c r="D57" s="59"/>
      <c r="E57" s="29" t="s">
        <v>261</v>
      </c>
      <c r="F57" s="30" t="s">
        <v>56</v>
      </c>
      <c r="G57" s="59"/>
      <c r="H57" s="29"/>
      <c r="I57" s="31"/>
    </row>
    <row r="58" spans="1:9" x14ac:dyDescent="0.3">
      <c r="A58" s="29" t="s">
        <v>62</v>
      </c>
      <c r="B58" s="30" t="s">
        <v>262</v>
      </c>
      <c r="C58" s="29"/>
      <c r="D58" s="59"/>
      <c r="E58" s="29"/>
      <c r="F58" s="31"/>
      <c r="G58" s="59"/>
      <c r="H58" s="29"/>
      <c r="I58" s="31"/>
    </row>
    <row r="59" spans="1:9" x14ac:dyDescent="0.3">
      <c r="A59" s="29" t="s">
        <v>64</v>
      </c>
      <c r="B59" s="30" t="s">
        <v>65</v>
      </c>
      <c r="C59" s="29"/>
      <c r="D59" s="59"/>
      <c r="E59" s="29" t="s">
        <v>263</v>
      </c>
      <c r="F59" s="31" t="s">
        <v>264</v>
      </c>
      <c r="G59" s="59"/>
      <c r="H59" s="29"/>
      <c r="I59" s="31"/>
    </row>
    <row r="60" spans="1:9" x14ac:dyDescent="0.3">
      <c r="A60" s="29" t="s">
        <v>66</v>
      </c>
      <c r="B60" s="30" t="s">
        <v>67</v>
      </c>
      <c r="C60" s="29"/>
      <c r="D60" s="59"/>
      <c r="E60" s="29" t="s">
        <v>265</v>
      </c>
      <c r="F60" s="31" t="s">
        <v>266</v>
      </c>
      <c r="G60" s="59"/>
      <c r="H60" s="29"/>
      <c r="I60" s="31"/>
    </row>
    <row r="61" spans="1:9" x14ac:dyDescent="0.3">
      <c r="A61" s="29" t="s">
        <v>267</v>
      </c>
      <c r="B61" s="30" t="s">
        <v>268</v>
      </c>
      <c r="C61" s="29"/>
      <c r="D61" s="59"/>
      <c r="E61" s="29" t="s">
        <v>269</v>
      </c>
      <c r="F61" s="31" t="s">
        <v>270</v>
      </c>
      <c r="G61" s="59"/>
      <c r="H61" s="29" t="s">
        <v>271</v>
      </c>
      <c r="I61" s="31" t="s">
        <v>268</v>
      </c>
    </row>
    <row r="62" spans="1:9" x14ac:dyDescent="0.3">
      <c r="A62" s="29" t="s">
        <v>272</v>
      </c>
      <c r="B62" s="30" t="s">
        <v>273</v>
      </c>
      <c r="C62" s="29"/>
      <c r="D62" s="59"/>
      <c r="E62" s="29" t="s">
        <v>274</v>
      </c>
      <c r="F62" s="31" t="s">
        <v>273</v>
      </c>
      <c r="G62" s="59"/>
      <c r="H62" s="29"/>
      <c r="I62" s="31"/>
    </row>
    <row r="63" spans="1:9" x14ac:dyDescent="0.3">
      <c r="A63" s="29" t="s">
        <v>275</v>
      </c>
      <c r="B63" s="30" t="s">
        <v>276</v>
      </c>
      <c r="C63" s="29"/>
      <c r="D63" s="59"/>
      <c r="E63" s="29"/>
      <c r="F63" s="31"/>
      <c r="G63" s="59"/>
      <c r="H63" s="29"/>
      <c r="I63" s="31"/>
    </row>
    <row r="64" spans="1:9" x14ac:dyDescent="0.3">
      <c r="A64" s="29" t="s">
        <v>277</v>
      </c>
      <c r="B64" s="30" t="s">
        <v>278</v>
      </c>
      <c r="C64" s="29"/>
      <c r="D64" s="59"/>
      <c r="E64" s="29"/>
      <c r="F64" s="31"/>
      <c r="G64" s="59"/>
      <c r="H64" s="29"/>
      <c r="I64" s="31"/>
    </row>
    <row r="65" spans="1:9" x14ac:dyDescent="0.3">
      <c r="A65" s="29" t="s">
        <v>279</v>
      </c>
      <c r="B65" s="30" t="s">
        <v>280</v>
      </c>
      <c r="C65" s="29"/>
      <c r="D65" s="59"/>
      <c r="E65" s="29" t="s">
        <v>281</v>
      </c>
      <c r="F65" s="31" t="s">
        <v>282</v>
      </c>
      <c r="G65" s="59"/>
      <c r="H65" s="29" t="s">
        <v>283</v>
      </c>
      <c r="I65" s="31" t="s">
        <v>284</v>
      </c>
    </row>
    <row r="66" spans="1:9" x14ac:dyDescent="0.3">
      <c r="A66" s="29" t="s">
        <v>285</v>
      </c>
      <c r="B66" s="30" t="s">
        <v>286</v>
      </c>
      <c r="C66" s="29"/>
      <c r="D66" s="59"/>
      <c r="E66" s="29" t="s">
        <v>283</v>
      </c>
      <c r="F66" s="31" t="s">
        <v>286</v>
      </c>
      <c r="G66" s="59"/>
      <c r="H66" s="29"/>
      <c r="I66" s="31"/>
    </row>
    <row r="67" spans="1:9" x14ac:dyDescent="0.3">
      <c r="A67" s="29" t="s">
        <v>287</v>
      </c>
      <c r="B67" s="30" t="s">
        <v>288</v>
      </c>
      <c r="C67" s="29"/>
      <c r="D67" s="59"/>
      <c r="E67" s="29"/>
      <c r="F67" s="31"/>
      <c r="G67" s="59"/>
      <c r="H67" s="29"/>
      <c r="I67" s="31"/>
    </row>
    <row r="68" spans="1:9" x14ac:dyDescent="0.3">
      <c r="A68" s="29" t="s">
        <v>289</v>
      </c>
      <c r="B68" s="30" t="s">
        <v>290</v>
      </c>
      <c r="C68" s="29"/>
      <c r="D68" s="59"/>
      <c r="E68" s="29"/>
      <c r="F68" s="31"/>
      <c r="G68" s="59"/>
      <c r="H68" s="29"/>
      <c r="I68" s="31"/>
    </row>
    <row r="69" spans="1:9" x14ac:dyDescent="0.3">
      <c r="A69" s="29" t="s">
        <v>291</v>
      </c>
      <c r="B69" s="30" t="s">
        <v>292</v>
      </c>
      <c r="C69" s="29"/>
      <c r="D69" s="59"/>
      <c r="E69" s="29" t="s">
        <v>293</v>
      </c>
      <c r="F69" s="31" t="s">
        <v>294</v>
      </c>
      <c r="G69" s="59"/>
      <c r="H69" s="29" t="s">
        <v>91</v>
      </c>
      <c r="I69" s="31" t="s">
        <v>294</v>
      </c>
    </row>
    <row r="70" spans="1:9" x14ac:dyDescent="0.3">
      <c r="A70" s="29" t="s">
        <v>295</v>
      </c>
      <c r="B70" s="30" t="s">
        <v>296</v>
      </c>
      <c r="C70" s="29"/>
      <c r="D70" s="59"/>
      <c r="E70" s="29" t="s">
        <v>297</v>
      </c>
      <c r="F70" s="31" t="s">
        <v>298</v>
      </c>
      <c r="G70" s="59"/>
      <c r="H70" s="29" t="s">
        <v>299</v>
      </c>
      <c r="I70" s="31" t="s">
        <v>300</v>
      </c>
    </row>
    <row r="71" spans="1:9" x14ac:dyDescent="0.3">
      <c r="A71" s="29" t="s">
        <v>301</v>
      </c>
      <c r="B71" s="30" t="s">
        <v>302</v>
      </c>
      <c r="C71" s="29"/>
      <c r="D71" s="59"/>
      <c r="E71" s="29"/>
      <c r="F71" s="31"/>
      <c r="G71" s="59"/>
      <c r="H71" s="29"/>
      <c r="I71" s="31"/>
    </row>
    <row r="72" spans="1:9" x14ac:dyDescent="0.3">
      <c r="A72" s="29" t="s">
        <v>303</v>
      </c>
      <c r="B72" s="30" t="s">
        <v>304</v>
      </c>
      <c r="C72" s="29"/>
      <c r="D72" s="59"/>
      <c r="E72" s="29"/>
      <c r="F72" s="31"/>
      <c r="G72" s="59"/>
      <c r="H72" s="29"/>
      <c r="I72" s="31"/>
    </row>
    <row r="73" spans="1:9" x14ac:dyDescent="0.3">
      <c r="A73" s="29" t="s">
        <v>305</v>
      </c>
      <c r="B73" s="30" t="s">
        <v>306</v>
      </c>
      <c r="C73" s="29"/>
      <c r="D73" s="59"/>
      <c r="E73" s="29"/>
      <c r="F73" s="31"/>
      <c r="G73" s="59"/>
      <c r="H73" s="29"/>
      <c r="I73" s="31"/>
    </row>
    <row r="74" spans="1:9" x14ac:dyDescent="0.3">
      <c r="A74" s="29" t="s">
        <v>307</v>
      </c>
      <c r="B74" s="30" t="s">
        <v>94</v>
      </c>
      <c r="C74" s="29"/>
      <c r="D74" s="59"/>
      <c r="E74" s="29" t="s">
        <v>93</v>
      </c>
      <c r="F74" s="31" t="s">
        <v>94</v>
      </c>
      <c r="G74" s="59"/>
      <c r="H74" s="29"/>
      <c r="I74" s="31"/>
    </row>
    <row r="75" spans="1:9" x14ac:dyDescent="0.3">
      <c r="A75" s="29" t="s">
        <v>105</v>
      </c>
      <c r="B75" s="31" t="s">
        <v>308</v>
      </c>
      <c r="C75" s="29"/>
      <c r="D75" s="59"/>
      <c r="E75" s="29" t="s">
        <v>309</v>
      </c>
      <c r="F75" s="31" t="s">
        <v>310</v>
      </c>
      <c r="G75" s="59"/>
      <c r="H75" s="29" t="s">
        <v>311</v>
      </c>
      <c r="I75" s="30" t="s">
        <v>310</v>
      </c>
    </row>
    <row r="76" spans="1:9" x14ac:dyDescent="0.3">
      <c r="A76" s="29" t="s">
        <v>109</v>
      </c>
      <c r="B76" s="30" t="s">
        <v>110</v>
      </c>
      <c r="C76" s="29"/>
      <c r="D76" s="59"/>
      <c r="E76" s="29" t="s">
        <v>312</v>
      </c>
      <c r="F76" s="30" t="s">
        <v>110</v>
      </c>
      <c r="G76" s="59"/>
      <c r="H76" s="29"/>
      <c r="I76" s="31"/>
    </row>
    <row r="77" spans="1:9" x14ac:dyDescent="0.3">
      <c r="A77" s="29" t="s">
        <v>313</v>
      </c>
      <c r="B77" s="30" t="s">
        <v>314</v>
      </c>
      <c r="C77" s="29"/>
      <c r="D77" s="59"/>
      <c r="E77" s="29"/>
      <c r="F77" s="31"/>
      <c r="G77" s="59"/>
      <c r="H77" s="29"/>
      <c r="I77" s="30"/>
    </row>
    <row r="78" spans="1:9" x14ac:dyDescent="0.3">
      <c r="A78" s="29" t="s">
        <v>315</v>
      </c>
      <c r="B78" s="30" t="s">
        <v>316</v>
      </c>
      <c r="C78" s="29"/>
      <c r="D78" s="59"/>
      <c r="E78" s="29"/>
      <c r="F78" s="31"/>
      <c r="G78" s="59"/>
      <c r="H78" s="29"/>
      <c r="I78" s="31"/>
    </row>
    <row r="79" spans="1:9" x14ac:dyDescent="0.3">
      <c r="A79" s="29" t="s">
        <v>22</v>
      </c>
      <c r="B79" s="58" t="s">
        <v>23</v>
      </c>
      <c r="C79" s="29"/>
      <c r="D79" s="59"/>
      <c r="E79" s="29"/>
      <c r="F79" s="31"/>
      <c r="G79" s="59"/>
      <c r="H79" s="29"/>
      <c r="I79" s="31"/>
    </row>
    <row r="80" spans="1:9" x14ac:dyDescent="0.3">
      <c r="A80" s="29" t="s">
        <v>24</v>
      </c>
      <c r="B80" s="30" t="s">
        <v>25</v>
      </c>
      <c r="C80" s="29"/>
      <c r="D80" s="59"/>
      <c r="E80" s="29"/>
      <c r="F80" s="31"/>
      <c r="G80" s="59"/>
      <c r="H80" s="29"/>
      <c r="I80" s="31"/>
    </row>
    <row r="81" spans="1:9" x14ac:dyDescent="0.3">
      <c r="A81" s="29" t="s">
        <v>28</v>
      </c>
      <c r="B81" s="30" t="s">
        <v>29</v>
      </c>
      <c r="C81" s="29"/>
      <c r="D81" s="59"/>
      <c r="E81" s="29" t="s">
        <v>317</v>
      </c>
      <c r="F81" s="30" t="s">
        <v>29</v>
      </c>
      <c r="G81" s="59"/>
      <c r="H81" s="29"/>
      <c r="I81" s="31"/>
    </row>
    <row r="82" spans="1:9" x14ac:dyDescent="0.3">
      <c r="A82" s="29" t="s">
        <v>30</v>
      </c>
      <c r="B82" s="30" t="s">
        <v>31</v>
      </c>
      <c r="C82" s="29"/>
      <c r="D82" s="59"/>
      <c r="E82" s="29" t="s">
        <v>318</v>
      </c>
      <c r="F82" s="31" t="s">
        <v>31</v>
      </c>
      <c r="G82" s="59"/>
      <c r="H82" s="29"/>
      <c r="I82" s="31"/>
    </row>
    <row r="83" spans="1:9" x14ac:dyDescent="0.3">
      <c r="A83" s="29" t="s">
        <v>36</v>
      </c>
      <c r="B83" s="30" t="s">
        <v>319</v>
      </c>
      <c r="C83" s="29"/>
      <c r="D83" s="59"/>
      <c r="E83" s="29"/>
      <c r="F83" s="31"/>
      <c r="G83" s="59"/>
      <c r="H83" s="29"/>
      <c r="I83" s="31"/>
    </row>
    <row r="84" spans="1:9" x14ac:dyDescent="0.3">
      <c r="A84" s="29" t="s">
        <v>37</v>
      </c>
      <c r="B84" s="30" t="s">
        <v>38</v>
      </c>
      <c r="C84" s="29"/>
      <c r="D84" s="59"/>
      <c r="E84" s="29"/>
      <c r="F84" s="31"/>
      <c r="G84" s="59"/>
      <c r="H84" s="29"/>
      <c r="I84" s="31"/>
    </row>
    <row r="85" spans="1:9" x14ac:dyDescent="0.3">
      <c r="A85" s="29" t="s">
        <v>39</v>
      </c>
      <c r="B85" s="30" t="s">
        <v>40</v>
      </c>
      <c r="C85" s="29"/>
      <c r="D85" s="59"/>
      <c r="E85" s="29" t="s">
        <v>320</v>
      </c>
      <c r="F85" s="30" t="s">
        <v>40</v>
      </c>
      <c r="G85" s="59"/>
      <c r="H85" s="29"/>
      <c r="I85" s="31"/>
    </row>
    <row r="86" spans="1:9" x14ac:dyDescent="0.3">
      <c r="A86" s="29" t="s">
        <v>41</v>
      </c>
      <c r="B86" s="30" t="s">
        <v>42</v>
      </c>
      <c r="C86" s="29"/>
      <c r="D86" s="59"/>
      <c r="E86" s="29"/>
      <c r="F86" s="31"/>
      <c r="G86" s="59"/>
      <c r="H86" s="29"/>
      <c r="I86" s="31"/>
    </row>
    <row r="87" spans="1:9" x14ac:dyDescent="0.3">
      <c r="A87" s="29" t="s">
        <v>73</v>
      </c>
      <c r="B87" s="30" t="s">
        <v>321</v>
      </c>
      <c r="C87" s="29"/>
      <c r="D87" s="59"/>
      <c r="E87" s="29" t="s">
        <v>322</v>
      </c>
      <c r="F87" s="31" t="s">
        <v>321</v>
      </c>
      <c r="G87" s="59"/>
      <c r="H87" s="29"/>
      <c r="I87" s="31"/>
    </row>
    <row r="88" spans="1:9" x14ac:dyDescent="0.3">
      <c r="A88" s="29" t="s">
        <v>75</v>
      </c>
      <c r="B88" s="30" t="s">
        <v>323</v>
      </c>
      <c r="C88" s="29"/>
      <c r="D88" s="59"/>
      <c r="E88" s="29" t="s">
        <v>324</v>
      </c>
      <c r="F88" s="31" t="s">
        <v>323</v>
      </c>
      <c r="G88" s="59"/>
      <c r="H88" s="29"/>
      <c r="I88" s="31"/>
    </row>
    <row r="89" spans="1:9" x14ac:dyDescent="0.3">
      <c r="A89" s="29" t="s">
        <v>77</v>
      </c>
      <c r="B89" s="30" t="s">
        <v>325</v>
      </c>
      <c r="C89" s="29"/>
      <c r="D89" s="59"/>
      <c r="E89" s="29" t="s">
        <v>326</v>
      </c>
      <c r="F89" s="30" t="s">
        <v>325</v>
      </c>
      <c r="G89" s="59"/>
      <c r="H89" s="29" t="s">
        <v>327</v>
      </c>
      <c r="I89" s="30" t="s">
        <v>325</v>
      </c>
    </row>
    <row r="90" spans="1:9" x14ac:dyDescent="0.3">
      <c r="A90" s="29" t="s">
        <v>95</v>
      </c>
      <c r="B90" s="30" t="s">
        <v>96</v>
      </c>
      <c r="C90" s="29"/>
      <c r="D90" s="59"/>
      <c r="E90" s="29"/>
      <c r="F90" s="31"/>
      <c r="G90" s="59"/>
      <c r="H90" s="29"/>
      <c r="I90" s="31"/>
    </row>
    <row r="91" spans="1:9" x14ac:dyDescent="0.3">
      <c r="A91" s="29" t="s">
        <v>97</v>
      </c>
      <c r="B91" s="30" t="s">
        <v>98</v>
      </c>
      <c r="C91" s="29"/>
      <c r="D91" s="59"/>
      <c r="E91" s="29"/>
      <c r="F91" s="31"/>
      <c r="G91" s="59"/>
      <c r="H91" s="29"/>
      <c r="I91" s="31"/>
    </row>
    <row r="92" spans="1:9" x14ac:dyDescent="0.3">
      <c r="A92" s="29" t="s">
        <v>99</v>
      </c>
      <c r="B92" s="30" t="s">
        <v>100</v>
      </c>
      <c r="C92" s="29"/>
      <c r="D92" s="59"/>
      <c r="E92" s="29"/>
      <c r="F92" s="31"/>
      <c r="G92" s="59"/>
      <c r="H92" s="29"/>
      <c r="I92" s="31"/>
    </row>
    <row r="93" spans="1:9" x14ac:dyDescent="0.3">
      <c r="A93" s="29" t="s">
        <v>101</v>
      </c>
      <c r="B93" s="30" t="s">
        <v>102</v>
      </c>
      <c r="C93" s="29"/>
      <c r="D93" s="59"/>
      <c r="E93" s="29"/>
      <c r="F93" s="31"/>
      <c r="G93" s="59"/>
      <c r="H93" s="29"/>
      <c r="I93" s="31"/>
    </row>
    <row r="94" spans="1:9" x14ac:dyDescent="0.3">
      <c r="A94" s="29" t="s">
        <v>103</v>
      </c>
      <c r="B94" s="30" t="s">
        <v>104</v>
      </c>
      <c r="C94" s="29"/>
      <c r="D94" s="59"/>
      <c r="E94" s="29" t="s">
        <v>328</v>
      </c>
      <c r="F94" s="31" t="s">
        <v>104</v>
      </c>
      <c r="G94" s="59"/>
      <c r="H94" s="29"/>
      <c r="I94" s="31"/>
    </row>
    <row r="95" spans="1:9" x14ac:dyDescent="0.3">
      <c r="A95" s="29" t="s">
        <v>107</v>
      </c>
      <c r="B95" s="30" t="s">
        <v>108</v>
      </c>
      <c r="C95" s="29"/>
      <c r="D95" s="59"/>
      <c r="E95" s="29"/>
      <c r="F95" s="31"/>
      <c r="G95" s="59"/>
      <c r="H95" s="29"/>
      <c r="I95" s="31"/>
    </row>
    <row r="96" spans="1:9" x14ac:dyDescent="0.3">
      <c r="A96" s="29" t="s">
        <v>111</v>
      </c>
      <c r="B96" s="30" t="s">
        <v>112</v>
      </c>
      <c r="C96" s="29"/>
      <c r="D96" s="59"/>
      <c r="E96" s="29"/>
      <c r="F96" s="31"/>
      <c r="G96" s="59"/>
      <c r="H96" s="29"/>
      <c r="I96" s="31"/>
    </row>
    <row r="97" spans="1:9" x14ac:dyDescent="0.3">
      <c r="A97" s="29" t="s">
        <v>144</v>
      </c>
      <c r="B97" s="30" t="s">
        <v>145</v>
      </c>
      <c r="C97" s="29"/>
      <c r="D97" s="59"/>
      <c r="E97" s="29"/>
      <c r="F97" s="31"/>
      <c r="G97" s="59"/>
      <c r="H97" s="29"/>
      <c r="I97" s="31"/>
    </row>
    <row r="98" spans="1:9" x14ac:dyDescent="0.3">
      <c r="A98" s="29" t="s">
        <v>114</v>
      </c>
      <c r="B98" s="30" t="s">
        <v>115</v>
      </c>
      <c r="C98" s="29"/>
      <c r="D98" s="59"/>
      <c r="E98" s="29"/>
      <c r="F98" s="31"/>
      <c r="G98" s="59"/>
      <c r="H98" s="29"/>
      <c r="I98" s="31"/>
    </row>
    <row r="99" spans="1:9" x14ac:dyDescent="0.3">
      <c r="A99" s="29" t="s">
        <v>116</v>
      </c>
      <c r="B99" s="30" t="s">
        <v>117</v>
      </c>
      <c r="C99" s="29"/>
      <c r="D99" s="59"/>
      <c r="E99" s="29"/>
      <c r="F99" s="31"/>
      <c r="G99" s="59"/>
      <c r="H99" s="29"/>
      <c r="I99" s="31"/>
    </row>
    <row r="100" spans="1:9" x14ac:dyDescent="0.3">
      <c r="A100" s="29" t="s">
        <v>118</v>
      </c>
      <c r="B100" s="30" t="s">
        <v>119</v>
      </c>
      <c r="C100" s="29"/>
      <c r="D100" s="59"/>
      <c r="E100" s="29"/>
      <c r="F100" s="31"/>
      <c r="G100" s="59"/>
      <c r="H100" s="29"/>
      <c r="I100" s="31"/>
    </row>
    <row r="101" spans="1:9" x14ac:dyDescent="0.3">
      <c r="A101" s="29" t="s">
        <v>120</v>
      </c>
      <c r="B101" s="30" t="s">
        <v>121</v>
      </c>
      <c r="C101" s="29"/>
      <c r="D101" s="59"/>
      <c r="E101" s="29"/>
      <c r="F101" s="31"/>
      <c r="G101" s="59"/>
      <c r="H101" s="29"/>
      <c r="I101" s="31"/>
    </row>
    <row r="102" spans="1:9" x14ac:dyDescent="0.3">
      <c r="A102" s="29" t="s">
        <v>122</v>
      </c>
      <c r="B102" s="30" t="s">
        <v>123</v>
      </c>
      <c r="C102" s="29"/>
      <c r="D102" s="59"/>
      <c r="E102" s="29"/>
      <c r="F102" s="31"/>
      <c r="G102" s="59"/>
      <c r="H102" s="29"/>
      <c r="I102" s="31"/>
    </row>
    <row r="103" spans="1:9" x14ac:dyDescent="0.3">
      <c r="A103" s="29" t="s">
        <v>124</v>
      </c>
      <c r="B103" s="30" t="s">
        <v>125</v>
      </c>
      <c r="C103" s="29"/>
      <c r="D103" s="59"/>
      <c r="E103" s="29"/>
      <c r="F103" s="31"/>
      <c r="G103" s="59"/>
      <c r="H103" s="29"/>
      <c r="I103" s="31"/>
    </row>
    <row r="104" spans="1:9" x14ac:dyDescent="0.3">
      <c r="A104" s="29" t="s">
        <v>126</v>
      </c>
      <c r="B104" s="30" t="s">
        <v>127</v>
      </c>
      <c r="C104" s="29"/>
      <c r="D104" s="59"/>
      <c r="E104" s="29"/>
      <c r="F104" s="31"/>
      <c r="G104" s="59"/>
      <c r="H104" s="29"/>
      <c r="I104" s="31"/>
    </row>
    <row r="105" spans="1:9" x14ac:dyDescent="0.3">
      <c r="A105" s="29" t="s">
        <v>128</v>
      </c>
      <c r="B105" s="30" t="s">
        <v>129</v>
      </c>
      <c r="C105" s="29"/>
      <c r="D105" s="59"/>
      <c r="E105" s="29"/>
      <c r="F105" s="31"/>
      <c r="G105" s="59"/>
      <c r="H105" s="29"/>
      <c r="I105" s="31"/>
    </row>
    <row r="106" spans="1:9" x14ac:dyDescent="0.3">
      <c r="A106" s="29" t="s">
        <v>130</v>
      </c>
      <c r="B106" s="30" t="s">
        <v>131</v>
      </c>
      <c r="C106" s="29"/>
      <c r="D106" s="59"/>
      <c r="E106" s="29"/>
      <c r="F106" s="31"/>
      <c r="G106" s="59"/>
      <c r="H106" s="29"/>
      <c r="I106" s="31"/>
    </row>
    <row r="107" spans="1:9" ht="15" thickBot="1" x14ac:dyDescent="0.35">
      <c r="A107" s="60" t="s">
        <v>132</v>
      </c>
      <c r="B107" s="61" t="s">
        <v>133</v>
      </c>
      <c r="C107" s="60"/>
      <c r="D107" s="62"/>
      <c r="E107" s="60"/>
      <c r="F107" s="63"/>
      <c r="G107" s="62"/>
      <c r="H107" s="60"/>
      <c r="I107" s="63"/>
    </row>
  </sheetData>
  <sheetProtection selectLockedCells="1"/>
  <protectedRanges>
    <protectedRange sqref="D2:D6 G2:G6" name="Rango1_1"/>
  </protectedRanges>
  <autoFilter ref="A1:I107" xr:uid="{00000000-0009-0000-0000-000003000000}"/>
  <phoneticPr fontId="4" type="noConversion"/>
  <conditionalFormatting sqref="H2">
    <cfRule type="duplicateValues" dxfId="14" priority="19"/>
  </conditionalFormatting>
  <conditionalFormatting sqref="A1 A3:A8 A13 A56:A74 A76:A1048576 A11 A16:A54">
    <cfRule type="duplicateValues" dxfId="13" priority="54"/>
  </conditionalFormatting>
  <conditionalFormatting sqref="H32">
    <cfRule type="duplicateValues" dxfId="12" priority="18"/>
  </conditionalFormatting>
  <conditionalFormatting sqref="E55">
    <cfRule type="duplicateValues" dxfId="11" priority="16"/>
  </conditionalFormatting>
  <conditionalFormatting sqref="E57">
    <cfRule type="duplicateValues" dxfId="10" priority="14"/>
  </conditionalFormatting>
  <conditionalFormatting sqref="H55">
    <cfRule type="duplicateValues" dxfId="9" priority="11"/>
  </conditionalFormatting>
  <conditionalFormatting sqref="H77">
    <cfRule type="duplicateValues" dxfId="8" priority="10"/>
  </conditionalFormatting>
  <conditionalFormatting sqref="H75">
    <cfRule type="duplicateValues" dxfId="7" priority="9"/>
  </conditionalFormatting>
  <conditionalFormatting sqref="H9">
    <cfRule type="duplicateValues" dxfId="6" priority="8"/>
  </conditionalFormatting>
  <conditionalFormatting sqref="E9">
    <cfRule type="duplicateValues" dxfId="5" priority="7"/>
  </conditionalFormatting>
  <conditionalFormatting sqref="H10">
    <cfRule type="duplicateValues" dxfId="4" priority="6"/>
  </conditionalFormatting>
  <conditionalFormatting sqref="E10">
    <cfRule type="duplicateValues" dxfId="3" priority="5"/>
  </conditionalFormatting>
  <conditionalFormatting sqref="E15">
    <cfRule type="duplicateValues" dxfId="2" priority="3"/>
  </conditionalFormatting>
  <conditionalFormatting sqref="H16">
    <cfRule type="duplicateValues" dxfId="1" priority="2"/>
  </conditionalFormatting>
  <conditionalFormatting sqref="A1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2025-04-07T20:37:25Z</cp:lastPrinted>
  <dcterms:created xsi:type="dcterms:W3CDTF">2024-08-29T16:28:19Z</dcterms:created>
  <dcterms:modified xsi:type="dcterms:W3CDTF">2026-08-12T14:11:26Z</dcterms:modified>
  <cp:category/>
  <cp:contentStatus/>
</cp:coreProperties>
</file>
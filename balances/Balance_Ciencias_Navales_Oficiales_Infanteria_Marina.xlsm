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314" documentId="11_66A64F6071214FD1BDF88AC7A8026C23FB557391" xr6:coauthVersionLast="47" xr6:coauthVersionMax="47" xr10:uidLastSave="{E5035B16-7857-4EE4-BCB2-ED9C42C6E741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Balance!$C$11:$L$78</definedName>
    <definedName name="_xlnm._FilterDatabase" localSheetId="3" hidden="1">Equivalencia!$A$1:$I$132</definedName>
    <definedName name="_xlnm.Print_Area" localSheetId="0">Balance!$C$3:$L$92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6" i="1" l="1"/>
  <c r="H76" i="1"/>
  <c r="J76" i="1"/>
  <c r="K76" i="1"/>
  <c r="L76" i="1"/>
  <c r="G77" i="1"/>
  <c r="L77" i="1" s="1"/>
  <c r="H77" i="1"/>
  <c r="J77" i="1"/>
  <c r="G78" i="1"/>
  <c r="L78" i="1" s="1"/>
  <c r="H78" i="1"/>
  <c r="J78" i="1"/>
  <c r="J75" i="1"/>
  <c r="H75" i="1"/>
  <c r="G75" i="1"/>
  <c r="L75" i="1" s="1"/>
  <c r="K77" i="1" l="1"/>
  <c r="K78" i="1"/>
  <c r="K75" i="1"/>
  <c r="J74" i="1"/>
  <c r="H74" i="1"/>
  <c r="G74" i="1"/>
  <c r="H4" i="7"/>
  <c r="H5" i="7"/>
  <c r="H6" i="7"/>
  <c r="H7" i="7"/>
  <c r="H8" i="7"/>
  <c r="H9" i="7"/>
  <c r="H10" i="7"/>
  <c r="H11" i="7"/>
  <c r="H12" i="7"/>
  <c r="H13" i="7"/>
  <c r="F8" i="1"/>
  <c r="L9" i="1" l="1"/>
  <c r="G12" i="1" s="1"/>
  <c r="G22" i="1" l="1"/>
  <c r="G13" i="1"/>
  <c r="G51" i="1"/>
  <c r="H51" i="1" s="1"/>
  <c r="G70" i="1"/>
  <c r="H70" i="1" s="1"/>
  <c r="G71" i="1"/>
  <c r="H71" i="1" s="1"/>
  <c r="G68" i="1"/>
  <c r="H68" i="1" s="1"/>
  <c r="G54" i="1"/>
  <c r="H54" i="1" s="1"/>
  <c r="G49" i="1"/>
  <c r="H49" i="1" s="1"/>
  <c r="G21" i="1"/>
  <c r="H21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C5" i="7"/>
  <c r="C6" i="7"/>
  <c r="C7" i="7"/>
  <c r="C8" i="7"/>
  <c r="C9" i="7"/>
  <c r="C10" i="7"/>
  <c r="C11" i="7"/>
  <c r="C12" i="7"/>
  <c r="C13" i="7"/>
  <c r="C4" i="7"/>
  <c r="K51" i="1" l="1"/>
  <c r="L51" i="1"/>
  <c r="L74" i="1"/>
  <c r="K74" i="1"/>
  <c r="K70" i="1"/>
  <c r="L70" i="1"/>
  <c r="K71" i="1"/>
  <c r="L71" i="1"/>
  <c r="K68" i="1"/>
  <c r="L68" i="1"/>
  <c r="L54" i="1"/>
  <c r="K54" i="1"/>
  <c r="K49" i="1"/>
  <c r="L49" i="1"/>
  <c r="K41" i="1"/>
  <c r="L41" i="1"/>
  <c r="K40" i="1"/>
  <c r="L40" i="1"/>
  <c r="K39" i="1"/>
  <c r="L39" i="1"/>
  <c r="K38" i="1"/>
  <c r="L38" i="1"/>
  <c r="K37" i="1"/>
  <c r="L37" i="1"/>
  <c r="K36" i="1"/>
  <c r="L36" i="1"/>
  <c r="K21" i="1"/>
  <c r="L21" i="1"/>
  <c r="G72" i="1"/>
  <c r="G48" i="1"/>
  <c r="H48" i="1" s="1"/>
  <c r="G20" i="1"/>
  <c r="H20" i="1" s="1"/>
  <c r="G16" i="1"/>
  <c r="G69" i="1"/>
  <c r="H69" i="1" s="1"/>
  <c r="H12" i="1"/>
  <c r="G14" i="1"/>
  <c r="H14" i="1" s="1"/>
  <c r="G59" i="1"/>
  <c r="H59" i="1" s="1"/>
  <c r="G55" i="1"/>
  <c r="H55" i="1" s="1"/>
  <c r="G24" i="1"/>
  <c r="H24" i="1" s="1"/>
  <c r="G50" i="1"/>
  <c r="H50" i="1" s="1"/>
  <c r="G52" i="1"/>
  <c r="H52" i="1" s="1"/>
  <c r="G47" i="1"/>
  <c r="H47" i="1" s="1"/>
  <c r="G26" i="1"/>
  <c r="H26" i="1" s="1"/>
  <c r="G25" i="1"/>
  <c r="H25" i="1" s="1"/>
  <c r="H13" i="1"/>
  <c r="G63" i="1"/>
  <c r="H63" i="1" s="1"/>
  <c r="G53" i="1"/>
  <c r="H53" i="1" s="1"/>
  <c r="G42" i="1"/>
  <c r="H42" i="1" s="1"/>
  <c r="G15" i="1"/>
  <c r="H15" i="1" s="1"/>
  <c r="G17" i="1"/>
  <c r="H17" i="1" s="1"/>
  <c r="G46" i="1"/>
  <c r="H46" i="1" s="1"/>
  <c r="G61" i="1"/>
  <c r="H61" i="1" s="1"/>
  <c r="G60" i="1"/>
  <c r="H60" i="1" s="1"/>
  <c r="G58" i="1"/>
  <c r="H58" i="1" s="1"/>
  <c r="G57" i="1"/>
  <c r="H57" i="1" s="1"/>
  <c r="G45" i="1"/>
  <c r="H45" i="1" s="1"/>
  <c r="G31" i="1"/>
  <c r="H31" i="1" s="1"/>
  <c r="G43" i="1"/>
  <c r="H43" i="1" s="1"/>
  <c r="G19" i="1"/>
  <c r="H19" i="1" s="1"/>
  <c r="G27" i="1"/>
  <c r="H27" i="1" s="1"/>
  <c r="G32" i="1"/>
  <c r="H32" i="1" s="1"/>
  <c r="G34" i="1"/>
  <c r="H34" i="1" s="1"/>
  <c r="G56" i="1"/>
  <c r="H56" i="1" s="1"/>
  <c r="G33" i="1"/>
  <c r="H33" i="1" s="1"/>
  <c r="G35" i="1"/>
  <c r="H35" i="1" s="1"/>
  <c r="G23" i="1"/>
  <c r="H23" i="1" s="1"/>
  <c r="G62" i="1"/>
  <c r="H62" i="1" s="1"/>
  <c r="G44" i="1"/>
  <c r="H44" i="1" s="1"/>
  <c r="G30" i="1"/>
  <c r="H30" i="1" s="1"/>
  <c r="G67" i="1"/>
  <c r="H67" i="1" s="1"/>
  <c r="G29" i="1"/>
  <c r="H29" i="1" s="1"/>
  <c r="G28" i="1"/>
  <c r="H28" i="1" s="1"/>
  <c r="H22" i="1"/>
  <c r="G66" i="1"/>
  <c r="H66" i="1" s="1"/>
  <c r="G65" i="1"/>
  <c r="H65" i="1" s="1"/>
  <c r="G64" i="1"/>
  <c r="H64" i="1" s="1"/>
  <c r="G73" i="1"/>
  <c r="H73" i="1" s="1"/>
  <c r="G18" i="1"/>
  <c r="H18" i="1" s="1"/>
  <c r="L16" i="1" l="1"/>
  <c r="H16" i="1"/>
  <c r="L72" i="1"/>
  <c r="H72" i="1"/>
  <c r="L35" i="1"/>
  <c r="L69" i="1"/>
  <c r="L28" i="1"/>
  <c r="L43" i="1"/>
  <c r="L50" i="1"/>
  <c r="L18" i="1"/>
  <c r="L63" i="1"/>
  <c r="L29" i="1"/>
  <c r="L61" i="1"/>
  <c r="L13" i="1"/>
  <c r="L55" i="1"/>
  <c r="L73" i="1"/>
  <c r="L67" i="1"/>
  <c r="L34" i="1"/>
  <c r="L57" i="1"/>
  <c r="L46" i="1"/>
  <c r="L25" i="1"/>
  <c r="L20" i="1"/>
  <c r="L22" i="1"/>
  <c r="L53" i="1"/>
  <c r="L33" i="1"/>
  <c r="L31" i="1"/>
  <c r="L60" i="1"/>
  <c r="L24" i="1"/>
  <c r="L56" i="1"/>
  <c r="L45" i="1"/>
  <c r="L30" i="1"/>
  <c r="K17" i="1"/>
  <c r="L17" i="1"/>
  <c r="K26" i="1"/>
  <c r="L26" i="1"/>
  <c r="L59" i="1"/>
  <c r="L48" i="1"/>
  <c r="L32" i="1"/>
  <c r="L47" i="1"/>
  <c r="L64" i="1"/>
  <c r="L44" i="1"/>
  <c r="L15" i="1"/>
  <c r="L14" i="1"/>
  <c r="L65" i="1"/>
  <c r="L62" i="1"/>
  <c r="L27" i="1"/>
  <c r="L66" i="1"/>
  <c r="L23" i="1"/>
  <c r="L19" i="1"/>
  <c r="L58" i="1"/>
  <c r="L42" i="1"/>
  <c r="L52" i="1"/>
  <c r="L12" i="1"/>
  <c r="K14" i="1"/>
  <c r="K13" i="1"/>
  <c r="K15" i="1"/>
  <c r="L8" i="1"/>
  <c r="K12" i="1" l="1"/>
  <c r="K16" i="1" l="1"/>
  <c r="K23" i="1"/>
  <c r="K34" i="1"/>
  <c r="K28" i="1" l="1"/>
  <c r="K19" i="1"/>
  <c r="K35" i="1"/>
  <c r="K30" i="1" l="1"/>
  <c r="K33" i="1"/>
  <c r="K31" i="1"/>
  <c r="K42" i="1" l="1"/>
  <c r="K25" i="1"/>
  <c r="K24" i="1" l="1"/>
  <c r="K20" i="1"/>
  <c r="K18" i="1"/>
  <c r="K27" i="1" l="1"/>
  <c r="K32" i="1"/>
  <c r="K22" i="1"/>
  <c r="K29" i="1" l="1"/>
  <c r="K44" i="1"/>
  <c r="K43" i="1"/>
  <c r="K46" i="1" l="1"/>
  <c r="K45" i="1"/>
  <c r="K47" i="1" l="1"/>
  <c r="K52" i="1"/>
  <c r="K53" i="1"/>
  <c r="K50" i="1" l="1"/>
  <c r="K48" i="1"/>
  <c r="K55" i="1"/>
  <c r="K64" i="1" l="1"/>
  <c r="K65" i="1"/>
  <c r="K66" i="1" l="1"/>
  <c r="K67" i="1"/>
  <c r="K62" i="1"/>
  <c r="K56" i="1" l="1"/>
  <c r="K58" i="1"/>
  <c r="K57" i="1"/>
  <c r="K59" i="1" l="1"/>
  <c r="K60" i="1"/>
  <c r="K61" i="1"/>
  <c r="K63" i="1" l="1"/>
  <c r="K69" i="1"/>
  <c r="K72" i="1" l="1"/>
  <c r="K73" i="1"/>
  <c r="J80" i="1" l="1"/>
  <c r="J81" i="1" l="1"/>
</calcChain>
</file>

<file path=xl/sharedStrings.xml><?xml version="1.0" encoding="utf-8"?>
<sst xmlns="http://schemas.openxmlformats.org/spreadsheetml/2006/main" count="1132" uniqueCount="485">
  <si>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</si>
  <si>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</si>
  <si>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</si>
  <si>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</si>
  <si>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</si>
  <si>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</si>
  <si>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</si>
  <si>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</si>
  <si>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</si>
  <si>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</si>
  <si>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</si>
  <si>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CURSADO</t>
  </si>
  <si>
    <t>CRÉDITOS</t>
  </si>
  <si>
    <t>NOTA</t>
  </si>
  <si>
    <t>HAB.</t>
  </si>
  <si>
    <t>CB109</t>
  </si>
  <si>
    <t>CB112</t>
  </si>
  <si>
    <t>Cálculo Diferencial</t>
  </si>
  <si>
    <t>CB113</t>
  </si>
  <si>
    <t>Cálculo Integral</t>
  </si>
  <si>
    <t>Estadística Descriptiva y Probabilidad</t>
  </si>
  <si>
    <t>CB402</t>
  </si>
  <si>
    <t>CB100</t>
  </si>
  <si>
    <t>Fundamentos de Matemáticas</t>
  </si>
  <si>
    <t>IN509</t>
  </si>
  <si>
    <t>Fundamento de Motores</t>
  </si>
  <si>
    <t>Formación Militar</t>
  </si>
  <si>
    <t>CN311</t>
  </si>
  <si>
    <t>Comunicaciones Electromagnéticas</t>
  </si>
  <si>
    <t>CN330</t>
  </si>
  <si>
    <t>Maniobras</t>
  </si>
  <si>
    <t>CN300</t>
  </si>
  <si>
    <t>Marinería</t>
  </si>
  <si>
    <t>CN335</t>
  </si>
  <si>
    <t>Navegación Astronómica</t>
  </si>
  <si>
    <t>CN301</t>
  </si>
  <si>
    <t>Navegación Costera</t>
  </si>
  <si>
    <t>CN337</t>
  </si>
  <si>
    <t>Navegación Electrónica</t>
  </si>
  <si>
    <t>CN101</t>
  </si>
  <si>
    <t>Orientación Naval</t>
  </si>
  <si>
    <t>CS103</t>
  </si>
  <si>
    <t>Derecho del Mar y Fluvial</t>
  </si>
  <si>
    <t>CS205</t>
  </si>
  <si>
    <t>Historia Naval</t>
  </si>
  <si>
    <t>IM252</t>
  </si>
  <si>
    <t>Armamento I</t>
  </si>
  <si>
    <t>IM213</t>
  </si>
  <si>
    <t>Inteligencia Básica, Contrainteligencia y Seguridad Militar</t>
  </si>
  <si>
    <t>IM144</t>
  </si>
  <si>
    <t>Operaciones Fluviales</t>
  </si>
  <si>
    <t>IN207</t>
  </si>
  <si>
    <t>Control de Averías y Prácticas</t>
  </si>
  <si>
    <t>IN202</t>
  </si>
  <si>
    <t>F. Profesional Espécifica</t>
  </si>
  <si>
    <t>AM701</t>
  </si>
  <si>
    <t>Logística General</t>
  </si>
  <si>
    <t>AM407</t>
  </si>
  <si>
    <t>AM401</t>
  </si>
  <si>
    <t>Principios de Contabilidad</t>
  </si>
  <si>
    <t>AM670</t>
  </si>
  <si>
    <t>Régimen Fiscal y Control Interno</t>
  </si>
  <si>
    <t>CB404</t>
  </si>
  <si>
    <t>Informática</t>
  </si>
  <si>
    <t>CS118</t>
  </si>
  <si>
    <t>Derecho Penal Militar</t>
  </si>
  <si>
    <t>CS119</t>
  </si>
  <si>
    <t>Procedimientos Disciplinarios y Administrativos</t>
  </si>
  <si>
    <t>Meteorología General</t>
  </si>
  <si>
    <t>Oceanografía General</t>
  </si>
  <si>
    <t>F. Socio Humanística</t>
  </si>
  <si>
    <t>CS112</t>
  </si>
  <si>
    <t>Derecho Constitucional</t>
  </si>
  <si>
    <t>CS141</t>
  </si>
  <si>
    <t>Derechos Humanos y Derecho Internacional Humanitario</t>
  </si>
  <si>
    <t>CS400</t>
  </si>
  <si>
    <t>Ética Básica</t>
  </si>
  <si>
    <t>Ética Profesional</t>
  </si>
  <si>
    <t>CS131</t>
  </si>
  <si>
    <t>Fundamentos de Liderazgo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</si>
  <si>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</si>
  <si>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</si>
  <si>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</si>
  <si>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</si>
  <si>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</si>
  <si>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</si>
  <si>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</si>
  <si>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</si>
  <si>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</si>
  <si>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</si>
  <si>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CS319</t>
  </si>
  <si>
    <t>Idiomas VI</t>
  </si>
  <si>
    <t>CS142</t>
  </si>
  <si>
    <t>Liderazgo Militar</t>
  </si>
  <si>
    <t>IM256</t>
  </si>
  <si>
    <t>Acción Integral</t>
  </si>
  <si>
    <t>F. Invest.</t>
  </si>
  <si>
    <t>CS711</t>
  </si>
  <si>
    <t>Investigación Formativa I</t>
  </si>
  <si>
    <t>CS712</t>
  </si>
  <si>
    <t>Investigación Formativa II</t>
  </si>
  <si>
    <t>CS713</t>
  </si>
  <si>
    <t>Investigación Formativa III</t>
  </si>
  <si>
    <t>CS200</t>
  </si>
  <si>
    <t>Técnicas de Expresión Oral y Escrita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</si>
  <si>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</si>
  <si>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</si>
  <si>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</si>
  <si>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CÓD</t>
  </si>
  <si>
    <t>ASIGNATURA</t>
  </si>
  <si>
    <t>CRÉD</t>
  </si>
  <si>
    <t>CÓDIGO</t>
  </si>
  <si>
    <t>CB101</t>
  </si>
  <si>
    <t>CB102</t>
  </si>
  <si>
    <t>CB401</t>
  </si>
  <si>
    <t>IN201</t>
  </si>
  <si>
    <t>Fundamentos de Motores</t>
  </si>
  <si>
    <t>CN320</t>
  </si>
  <si>
    <t>CN326</t>
  </si>
  <si>
    <t>CN202</t>
  </si>
  <si>
    <t>IM232</t>
  </si>
  <si>
    <t>AM201</t>
  </si>
  <si>
    <t>AM601</t>
  </si>
  <si>
    <t>OF101</t>
  </si>
  <si>
    <t>OF102</t>
  </si>
  <si>
    <t>CS171</t>
  </si>
  <si>
    <t>CS101</t>
  </si>
  <si>
    <t>Derechos Humanos</t>
  </si>
  <si>
    <t>CS132</t>
  </si>
  <si>
    <t>IM240</t>
  </si>
  <si>
    <t>IM126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</si>
  <si>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</si>
  <si>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CIENCIAS NAVALES PARA OFICIALES DE INFANTERÍA DE MARINA</t>
  </si>
  <si>
    <t>F. Básica</t>
  </si>
  <si>
    <t>IM200</t>
  </si>
  <si>
    <t>Comunicaciones IM</t>
  </si>
  <si>
    <t>IM114</t>
  </si>
  <si>
    <t>IM116</t>
  </si>
  <si>
    <t>IM117</t>
  </si>
  <si>
    <t>Táctica Básica</t>
  </si>
  <si>
    <t>Táctica Regular</t>
  </si>
  <si>
    <t>Táctica Irregular</t>
  </si>
  <si>
    <t>IM140</t>
  </si>
  <si>
    <t>Operaciones Anfibias</t>
  </si>
  <si>
    <t>Navegación Terrestre</t>
  </si>
  <si>
    <t>IM231</t>
  </si>
  <si>
    <t>IM110</t>
  </si>
  <si>
    <t>Pelotón de fusileros</t>
  </si>
  <si>
    <t>IM222</t>
  </si>
  <si>
    <t>Plana Mayor</t>
  </si>
  <si>
    <t>IM</t>
  </si>
  <si>
    <t>IM302</t>
  </si>
  <si>
    <t>IM354</t>
  </si>
  <si>
    <t>IM120</t>
  </si>
  <si>
    <t>IM148</t>
  </si>
  <si>
    <t>IM218</t>
  </si>
  <si>
    <t>IM219</t>
  </si>
  <si>
    <t>IM229</t>
  </si>
  <si>
    <t>CS221</t>
  </si>
  <si>
    <t>Ideologías Básicas</t>
  </si>
  <si>
    <t>Lecciones aprendidas</t>
  </si>
  <si>
    <t>Administración del riesgo</t>
  </si>
  <si>
    <t>Comando Unidades Fluviales</t>
  </si>
  <si>
    <t>Módulo Entrenamiento Básico</t>
  </si>
  <si>
    <t>Módulo Entrenamiento Avanzado</t>
  </si>
  <si>
    <t>Seguridad y Defensa de Bases Fijas</t>
  </si>
  <si>
    <t>Historia Militar</t>
  </si>
  <si>
    <t>Procedimientos Judiciales</t>
  </si>
  <si>
    <t>CS129</t>
  </si>
  <si>
    <t>OF322</t>
  </si>
  <si>
    <t>Sistema de Información Geográfica</t>
  </si>
  <si>
    <t>AM101</t>
  </si>
  <si>
    <t>Principios Economía</t>
  </si>
  <si>
    <t>CS100</t>
  </si>
  <si>
    <t>Psicología General</t>
  </si>
  <si>
    <t>AM217</t>
  </si>
  <si>
    <t>AM810</t>
  </si>
  <si>
    <r>
      <rPr>
        <b/>
        <sz val="8"/>
        <rFont val="Aptos Display"/>
        <family val="2"/>
        <scheme val="major"/>
      </rPr>
      <t xml:space="preserve">Optativas de Énfasis </t>
    </r>
    <r>
      <rPr>
        <sz val="8"/>
        <rFont val="Aptos Display"/>
        <family val="2"/>
        <scheme val="major"/>
      </rPr>
      <t>(10 créditos)</t>
    </r>
  </si>
  <si>
    <t>Armamento IM</t>
  </si>
  <si>
    <t>Accion Integral</t>
  </si>
  <si>
    <t>IM235</t>
  </si>
  <si>
    <t>Armamento Im</t>
  </si>
  <si>
    <t>IM202</t>
  </si>
  <si>
    <t>Comunicaciones Im</t>
  </si>
  <si>
    <t>IM350</t>
  </si>
  <si>
    <t>Lecciones Aprendidas</t>
  </si>
  <si>
    <t>Navegacion Costera</t>
  </si>
  <si>
    <t>Administracion (general)</t>
  </si>
  <si>
    <t>AM202</t>
  </si>
  <si>
    <t>Administracion Ii (planeacion Y Organizacion)</t>
  </si>
  <si>
    <t>AM203</t>
  </si>
  <si>
    <t>Administracion Iii (direccion Y Control)</t>
  </si>
  <si>
    <t>Algebra Lineal</t>
  </si>
  <si>
    <t>IM209</t>
  </si>
  <si>
    <t>Armamento Ii</t>
  </si>
  <si>
    <t>CB117</t>
  </si>
  <si>
    <t>Calculo I</t>
  </si>
  <si>
    <t>AM414</t>
  </si>
  <si>
    <t>Contabilidad General</t>
  </si>
  <si>
    <t>CS106</t>
  </si>
  <si>
    <t>Derecho Constitucional, Ddhh Y Diccaa</t>
  </si>
  <si>
    <t>IM237</t>
  </si>
  <si>
    <t>Derecho Operacional</t>
  </si>
  <si>
    <t>Derechos Humanos Y Derecho Internacional Humanitario</t>
  </si>
  <si>
    <t>CS152</t>
  </si>
  <si>
    <t>Derechos Humanos Y Dih</t>
  </si>
  <si>
    <t>Estadistica Inferencial</t>
  </si>
  <si>
    <t>CB403</t>
  </si>
  <si>
    <t>CS204</t>
  </si>
  <si>
    <t>Etica I</t>
  </si>
  <si>
    <t>CS401</t>
  </si>
  <si>
    <t>Etica Militar (etica Profesional)</t>
  </si>
  <si>
    <t>CS208</t>
  </si>
  <si>
    <t>CS217</t>
  </si>
  <si>
    <t>Etica Y Liderazgo</t>
  </si>
  <si>
    <t>IM227</t>
  </si>
  <si>
    <t>Fund. De Factores Ambientales En El Planeamiento Táctico-si</t>
  </si>
  <si>
    <t>IM225</t>
  </si>
  <si>
    <t>Fund. De Operaciones Proyección Y Contraproyección</t>
  </si>
  <si>
    <t>IM101</t>
  </si>
  <si>
    <t>Fundamentos Armamento Y Tiro</t>
  </si>
  <si>
    <t>IM239</t>
  </si>
  <si>
    <t>Fundamentos De Accion Integral</t>
  </si>
  <si>
    <t>IM006</t>
  </si>
  <si>
    <t>Fundamentos De Administracion Del Riesgo</t>
  </si>
  <si>
    <t>IM001</t>
  </si>
  <si>
    <t>Fundamentos De Comunicaciones Im</t>
  </si>
  <si>
    <t>CS001</t>
  </si>
  <si>
    <t>Fundamentos De Derecho Constitucional, Ddhh Y Dih</t>
  </si>
  <si>
    <t>CS002</t>
  </si>
  <si>
    <t>Fundamentos De Derecho Penal Militar</t>
  </si>
  <si>
    <t>CS214</t>
  </si>
  <si>
    <t>Fundamentos De Historia Naval</t>
  </si>
  <si>
    <t>IM002</t>
  </si>
  <si>
    <t>Fundamentos De Ideologias Basicas</t>
  </si>
  <si>
    <t>IM204</t>
  </si>
  <si>
    <t>Fundamentos De Inteligencia Basica, Contrainteligencia</t>
  </si>
  <si>
    <t>IM249</t>
  </si>
  <si>
    <t>Fundamentos De Lecciones Aprendidas</t>
  </si>
  <si>
    <t>CS003</t>
  </si>
  <si>
    <t>Fundamentos De Liderazgo Y Ética Militar</t>
  </si>
  <si>
    <t>IM008</t>
  </si>
  <si>
    <t>Fundamentos De Operaciones Anfibias</t>
  </si>
  <si>
    <t>IM143</t>
  </si>
  <si>
    <t>Fundamentos De Operaciones Fluviales</t>
  </si>
  <si>
    <t>IM005</t>
  </si>
  <si>
    <t>Fundamentos De Peloton De Fusileros</t>
  </si>
  <si>
    <t>IM248</t>
  </si>
  <si>
    <t>Fundamentos De Plana Mayor</t>
  </si>
  <si>
    <t>CS127</t>
  </si>
  <si>
    <t>Fundamentos De Procesos Judiciales</t>
  </si>
  <si>
    <t>AM607</t>
  </si>
  <si>
    <t>Fundamentos De Regimen Fiscal Y Control Interno</t>
  </si>
  <si>
    <t>IM004</t>
  </si>
  <si>
    <t>Fundamentos De Tactica Basica</t>
  </si>
  <si>
    <t>IM109</t>
  </si>
  <si>
    <t>Fundamentos De Tactica Regular</t>
  </si>
  <si>
    <t>CS104</t>
  </si>
  <si>
    <t>Fundamentos Derecho Del Mar Y Fluvial</t>
  </si>
  <si>
    <t>AM704</t>
  </si>
  <si>
    <t>Fundamentos Logistica</t>
  </si>
  <si>
    <t>CS126</t>
  </si>
  <si>
    <t>Fundamentos Procedimientos Disciplinario Y Adtivo</t>
  </si>
  <si>
    <t>IM600</t>
  </si>
  <si>
    <t>Generalidades Del Planeamiento</t>
  </si>
  <si>
    <t>OF314</t>
  </si>
  <si>
    <t>Gestion Ambiental</t>
  </si>
  <si>
    <t>IM207</t>
  </si>
  <si>
    <t>Inteligencia Basica Y Contra Inteligencia</t>
  </si>
  <si>
    <t>IM601</t>
  </si>
  <si>
    <t>Inteligencia - Picc Digital</t>
  </si>
  <si>
    <t>Liderazgo Tactico</t>
  </si>
  <si>
    <t>CB107</t>
  </si>
  <si>
    <t>Matematica Aplicada Para Administradores</t>
  </si>
  <si>
    <t>CB108</t>
  </si>
  <si>
    <t>Matematica Financiera</t>
  </si>
  <si>
    <t>AM102</t>
  </si>
  <si>
    <t>Microeconomia</t>
  </si>
  <si>
    <t>IM262</t>
  </si>
  <si>
    <t>Modulo Capacidades Fluviales</t>
  </si>
  <si>
    <t>IM221</t>
  </si>
  <si>
    <t>Modulo De Entrenamiento Basico</t>
  </si>
  <si>
    <t>IM206</t>
  </si>
  <si>
    <t>Modulo Tecnicas De Equipo Y Escuadra</t>
  </si>
  <si>
    <t>IM124</t>
  </si>
  <si>
    <t>Modulo Tecnicas De Peloton</t>
  </si>
  <si>
    <t>CN324</t>
  </si>
  <si>
    <t>Navegacion Iii - Astronomica</t>
  </si>
  <si>
    <t>Navegacion Iv - Electronica</t>
  </si>
  <si>
    <t>AM718</t>
  </si>
  <si>
    <t>Normatividad Maritima Y Fluvial</t>
  </si>
  <si>
    <t>IM205</t>
  </si>
  <si>
    <t>Organizacion Para El Combate</t>
  </si>
  <si>
    <t>IM254</t>
  </si>
  <si>
    <t>IM12</t>
  </si>
  <si>
    <t>Planeamiento Táctico</t>
  </si>
  <si>
    <t>Presupuesto Y Tesoreria</t>
  </si>
  <si>
    <t>AM116</t>
  </si>
  <si>
    <t>Principios De Economia</t>
  </si>
  <si>
    <t>IM233</t>
  </si>
  <si>
    <t>Procedimiento De Comando</t>
  </si>
  <si>
    <t>IM243</t>
  </si>
  <si>
    <t>Procedimientos Y Organización Otan</t>
  </si>
  <si>
    <t>CS146</t>
  </si>
  <si>
    <t>Psicologia General</t>
  </si>
  <si>
    <t>CS150</t>
  </si>
  <si>
    <t>Regimen Disciplinario Y Administativo</t>
  </si>
  <si>
    <t>CS151</t>
  </si>
  <si>
    <t>Regimen Penal Militar</t>
  </si>
  <si>
    <t>Salud Y Seguridad En El Trabajo</t>
  </si>
  <si>
    <t>Sistemas Integrados De Gestion</t>
  </si>
  <si>
    <t>Tactica I</t>
  </si>
  <si>
    <t>IM115</t>
  </si>
  <si>
    <t>Tactica Ii</t>
  </si>
  <si>
    <t>IM123</t>
  </si>
  <si>
    <t>Tactica Iii</t>
  </si>
  <si>
    <t>IM253</t>
  </si>
  <si>
    <t>IM149</t>
  </si>
  <si>
    <t>IM255</t>
  </si>
  <si>
    <t>IM142</t>
  </si>
  <si>
    <t>IM201</t>
  </si>
  <si>
    <t>IM122</t>
  </si>
  <si>
    <t>CS145</t>
  </si>
  <si>
    <t>Principios de Armamento y Tiro</t>
  </si>
  <si>
    <t>Electivas</t>
  </si>
  <si>
    <t>Jefe de Programa Ciencias Navales para Oficiales IM</t>
  </si>
  <si>
    <t>Decano Facultad Infantería de Marina</t>
  </si>
  <si>
    <t>PÉNSUM VIGENTE</t>
  </si>
  <si>
    <t>Matemática I</t>
  </si>
  <si>
    <t>Matemática II</t>
  </si>
  <si>
    <t>Maquinaría Naval</t>
  </si>
  <si>
    <t>Maquinária Naval</t>
  </si>
  <si>
    <t>Pelotón de Fusileros</t>
  </si>
  <si>
    <t>Régimen Fiscal Y Control Interno</t>
  </si>
  <si>
    <t>Estadística Y Probabilidad</t>
  </si>
  <si>
    <t>Gestión Ambiental</t>
  </si>
  <si>
    <t>Sistemas Integrados de Gestión</t>
  </si>
  <si>
    <t>Álgebra Lineal</t>
  </si>
  <si>
    <t>Validación</t>
  </si>
  <si>
    <t>Periodo Actual</t>
  </si>
  <si>
    <t>2026 - 1                         Académico   Normal..</t>
  </si>
  <si>
    <t>Código</t>
  </si>
  <si>
    <t>2220020004  N° Ident.  1003378816  Sexo  Masculino</t>
  </si>
  <si>
    <t>Apellidos</t>
  </si>
  <si>
    <t>CAICEDO CORTES</t>
  </si>
  <si>
    <t>Nombre</t>
  </si>
  <si>
    <t>ANDRES MAURICIO</t>
  </si>
  <si>
    <t>E-mail</t>
  </si>
  <si>
    <t>mauroandres0123@gmail.com</t>
  </si>
  <si>
    <t>Programa</t>
  </si>
  <si>
    <t>CIENCIAS NAVALES PARA OFICIALES DE INFANTERIA DE MARINA - ADIM  Sem: 08</t>
  </si>
  <si>
    <t>Reforma Pensum</t>
  </si>
  <si>
    <t>2026 - 1 - 4.2IM</t>
  </si>
  <si>
    <t>Item</t>
  </si>
  <si>
    <t>Materia</t>
  </si>
  <si>
    <t>Crd</t>
  </si>
  <si>
    <t>1P</t>
  </si>
  <si>
    <t>2P</t>
  </si>
  <si>
    <t>3P</t>
  </si>
  <si>
    <t>4P</t>
  </si>
  <si>
    <t>Def</t>
  </si>
  <si>
    <t>Hab</t>
  </si>
  <si>
    <t>Final</t>
  </si>
  <si>
    <t>ACCION INTEGRAL</t>
  </si>
  <si>
    <t>.000</t>
  </si>
  <si>
    <t>DERECHO DEL MAR...</t>
  </si>
  <si>
    <t>ESTADISTICA INF...</t>
  </si>
  <si>
    <t>IDIOMAS VI</t>
  </si>
  <si>
    <t>LECCIONES APREN...</t>
  </si>
  <si>
    <t>MATEMATICA APLI...</t>
  </si>
  <si>
    <t>PRESUPUESTO Y T...</t>
  </si>
  <si>
    <t>PROCED. DISCIPL...</t>
  </si>
  <si>
    <t>Materias</t>
  </si>
  <si>
    <t>Creditos</t>
  </si>
  <si>
    <t>Cursadas</t>
  </si>
  <si>
    <t>Aprobadas</t>
  </si>
  <si>
    <t>Perdidas</t>
  </si>
  <si>
    <t>Matriculados</t>
  </si>
  <si>
    <t>Aprobados</t>
  </si>
  <si>
    <t>Perdidos</t>
  </si>
  <si>
    <t>Del Semestre</t>
  </si>
  <si>
    <t>8.0</t>
  </si>
  <si>
    <t>0.0</t>
  </si>
  <si>
    <t>17.0</t>
  </si>
  <si>
    <t>Acumulados</t>
  </si>
  <si>
    <t>74.0</t>
  </si>
  <si>
    <t>73.0</t>
  </si>
  <si>
    <t>1.0</t>
  </si>
  <si>
    <t>150.0</t>
  </si>
  <si>
    <t>148.0</t>
  </si>
  <si>
    <t>2.0</t>
  </si>
  <si>
    <t>Promedio Ponderado</t>
  </si>
  <si>
    <t>Acumulado</t>
  </si>
  <si>
    <t>2025 - 2 - 4.1IM</t>
  </si>
  <si>
    <t>IDIOMAS V</t>
  </si>
  <si>
    <t>MODULO ENTRENAM...</t>
  </si>
  <si>
    <t>OPERACIONES ANF...</t>
  </si>
  <si>
    <t>PROCEDIMIENTOS ...</t>
  </si>
  <si>
    <t>REGIMEN FISCAL ...</t>
  </si>
  <si>
    <t>SISTEMAS DE INF...</t>
  </si>
  <si>
    <t>SISTEMAS INTEGR...</t>
  </si>
  <si>
    <t>TACTICA IRREGULAR</t>
  </si>
  <si>
    <t>16.0</t>
  </si>
  <si>
    <t>66.0</t>
  </si>
  <si>
    <t>65.0</t>
  </si>
  <si>
    <t>133.0</t>
  </si>
  <si>
    <t>131.0</t>
  </si>
  <si>
    <t>2025 - 1 - 3.2IM</t>
  </si>
  <si>
    <t>COMUNICACIONES ...</t>
  </si>
  <si>
    <t>CONTROL DE AVER...</t>
  </si>
  <si>
    <t>ETICA PROFESIONAL</t>
  </si>
  <si>
    <t>INTELIGENCIA BÁ...</t>
  </si>
  <si>
    <t>LIDERAZGO MILITAR</t>
  </si>
  <si>
    <t>LOGISTICA GENERAL</t>
  </si>
  <si>
    <t>MANIOBRAS</t>
  </si>
  <si>
    <t>MAQUINARIA NAVAL</t>
  </si>
  <si>
    <t>METEOROLOGIA GE...</t>
  </si>
  <si>
    <t>NAVEGACIÓN ASTR...</t>
  </si>
  <si>
    <t>NAVEGACIÓN ELEC...</t>
  </si>
  <si>
    <t>11.0</t>
  </si>
  <si>
    <t>21.0</t>
  </si>
  <si>
    <t>58.0</t>
  </si>
  <si>
    <t>57.0</t>
  </si>
  <si>
    <t>117.0</t>
  </si>
  <si>
    <t>115.0</t>
  </si>
  <si>
    <t>2024 - 2 - 3.1IM</t>
  </si>
  <si>
    <t>ADMINISTRACION ...</t>
  </si>
  <si>
    <t>DERECHO PENAL M...</t>
  </si>
  <si>
    <t>FUNDAMENTOS DE ...</t>
  </si>
  <si>
    <t>IDIOMAS IV</t>
  </si>
  <si>
    <t>INVESTIGACION F...</t>
  </si>
  <si>
    <t>PLANA MAYOR</t>
  </si>
  <si>
    <t>PRINCIPIOS DE E...</t>
  </si>
  <si>
    <t>9.0</t>
  </si>
  <si>
    <t>20.0</t>
  </si>
  <si>
    <t>47.0</t>
  </si>
  <si>
    <t>46.0</t>
  </si>
  <si>
    <t>96.0</t>
  </si>
  <si>
    <t>94.0</t>
  </si>
  <si>
    <t>2024 - 1 - 2.2IM</t>
  </si>
  <si>
    <t>COMANDO UNIDADE...</t>
  </si>
  <si>
    <t>ESTADISTICA Y P...</t>
  </si>
  <si>
    <t>GESTION AMBIENTAL</t>
  </si>
  <si>
    <t>HISTORIA MILITAR</t>
  </si>
  <si>
    <t>IDEOLOGIA BASICAS</t>
  </si>
  <si>
    <t>IDIOMAS III</t>
  </si>
  <si>
    <t>OCEANOGRAFIA GE...</t>
  </si>
  <si>
    <t>OPERACIONES FLU...</t>
  </si>
  <si>
    <t>PSICOLOGIA GENERAL</t>
  </si>
  <si>
    <t>10.0</t>
  </si>
  <si>
    <t>18.0</t>
  </si>
  <si>
    <t>38.0</t>
  </si>
  <si>
    <t>37.0</t>
  </si>
  <si>
    <t>76.0</t>
  </si>
  <si>
    <t>2023 - 2 - 2.1IM</t>
  </si>
  <si>
    <t>ADMINISTRACION II</t>
  </si>
  <si>
    <t>CALCULO INTEGRAL</t>
  </si>
  <si>
    <t>IDIOMAS II</t>
  </si>
  <si>
    <t>MODULO DE ENTRE...</t>
  </si>
  <si>
    <t>NAVEGACION TERR...</t>
  </si>
  <si>
    <t>PRINCIPIOS DE C...</t>
  </si>
  <si>
    <t>SEGURIDAD Y DEF...</t>
  </si>
  <si>
    <t>TACTICA REGULAR</t>
  </si>
  <si>
    <t>28.0</t>
  </si>
  <si>
    <t>27.0</t>
  </si>
  <si>
    <t>56.0</t>
  </si>
  <si>
    <t>2023 - 1 - 1.2IM</t>
  </si>
  <si>
    <t>ALGEBRA LINEAL</t>
  </si>
  <si>
    <t>COMUNICACIONES IM</t>
  </si>
  <si>
    <t>IDIOMAS I</t>
  </si>
  <si>
    <t>INFORMATICA</t>
  </si>
  <si>
    <t>MATEMATICA I</t>
  </si>
  <si>
    <t>PELOTON DE FUSI...</t>
  </si>
  <si>
    <t>TACTICA BASICA</t>
  </si>
  <si>
    <t>TECNICAS DE EXP...</t>
  </si>
  <si>
    <t>19.0</t>
  </si>
  <si>
    <t>2022 - 2 - 1.1IM</t>
  </si>
  <si>
    <t>DERECHO CONSTIT...</t>
  </si>
  <si>
    <t>DH Y DIH - CONF...</t>
  </si>
  <si>
    <t>ETICA BASICA</t>
  </si>
  <si>
    <t>HISTORIA NAVAL</t>
  </si>
  <si>
    <t>MARINERIA</t>
  </si>
  <si>
    <t>NAVEGACION COSTERA</t>
  </si>
  <si>
    <t>ORIENTACION NAVAL</t>
  </si>
  <si>
    <t>PRINCIPIOS ARMA...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</si>
</sst>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b/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sz val="9"/>
      <color theme="3" tint="0.89999084444715716"/>
      <name val="Aptos Display"/>
      <family val="2"/>
      <scheme val="major"/>
    </font>
    <font>
      <sz val="8.5"/>
      <color theme="1"/>
      <name val="Aptos Display"/>
      <family val="2"/>
      <scheme val="major"/>
    </font>
    <font>
      <sz val="8.5"/>
      <color theme="0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86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31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1" fontId="10" fillId="2" borderId="24" xfId="0" applyNumberFormat="1" applyFont="1" applyFill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4" fillId="0" borderId="36" xfId="0" applyFont="1" applyBorder="1" applyAlignment="1">
      <alignment horizontal="center" vertical="center" textRotation="90"/>
    </xf>
    <xf numFmtId="0" fontId="9" fillId="0" borderId="36" xfId="0" applyFont="1" applyBorder="1" applyAlignment="1">
      <alignment horizontal="center" vertical="center"/>
    </xf>
    <xf numFmtId="0" fontId="9" fillId="0" borderId="36" xfId="0" applyFont="1" applyBorder="1" applyAlignment="1">
      <alignment horizontal="left" vertical="center"/>
    </xf>
    <xf numFmtId="1" fontId="9" fillId="0" borderId="36" xfId="0" applyNumberFormat="1" applyFont="1" applyBorder="1" applyAlignment="1">
      <alignment horizontal="center" vertical="center"/>
    </xf>
    <xf numFmtId="0" fontId="11" fillId="0" borderId="37" xfId="2" applyFont="1" applyBorder="1" applyAlignment="1">
      <alignment horizontal="center" vertical="center"/>
    </xf>
    <xf numFmtId="0" fontId="11" fillId="0" borderId="41" xfId="2" applyFont="1" applyBorder="1" applyAlignment="1">
      <alignment horizontal="center" vertical="center"/>
    </xf>
    <xf numFmtId="1" fontId="11" fillId="0" borderId="37" xfId="2" applyNumberFormat="1" applyFont="1" applyBorder="1" applyAlignment="1">
      <alignment horizontal="center" vertical="center"/>
    </xf>
    <xf numFmtId="164" fontId="11" fillId="0" borderId="37" xfId="2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44" xfId="2" applyFont="1" applyBorder="1" applyAlignment="1">
      <alignment horizontal="center" vertical="center"/>
    </xf>
    <xf numFmtId="1" fontId="11" fillId="0" borderId="43" xfId="2" applyNumberFormat="1" applyFont="1" applyBorder="1" applyAlignment="1">
      <alignment horizontal="center" vertical="center"/>
    </xf>
    <xf numFmtId="164" fontId="11" fillId="0" borderId="43" xfId="2" applyNumberFormat="1" applyFont="1" applyBorder="1" applyAlignment="1">
      <alignment horizontal="center" vertical="center"/>
    </xf>
    <xf numFmtId="164" fontId="9" fillId="0" borderId="43" xfId="0" applyNumberFormat="1" applyFont="1" applyBorder="1" applyAlignment="1">
      <alignment horizontal="center" vertical="center"/>
    </xf>
    <xf numFmtId="0" fontId="11" fillId="0" borderId="45" xfId="2" applyFont="1" applyBorder="1" applyAlignment="1">
      <alignment horizontal="center" vertical="center"/>
    </xf>
    <xf numFmtId="0" fontId="11" fillId="0" borderId="46" xfId="2" applyFont="1" applyBorder="1" applyAlignment="1">
      <alignment horizontal="center" vertical="center"/>
    </xf>
    <xf numFmtId="1" fontId="11" fillId="0" borderId="45" xfId="2" applyNumberFormat="1" applyFont="1" applyBorder="1" applyAlignment="1">
      <alignment horizontal="center" vertical="center"/>
    </xf>
    <xf numFmtId="164" fontId="11" fillId="0" borderId="45" xfId="2" applyNumberFormat="1" applyFont="1" applyBorder="1" applyAlignment="1">
      <alignment horizontal="center" vertical="center"/>
    </xf>
    <xf numFmtId="164" fontId="9" fillId="0" borderId="45" xfId="0" applyNumberFormat="1" applyFont="1" applyBorder="1" applyAlignment="1">
      <alignment horizontal="center" vertical="center"/>
    </xf>
    <xf numFmtId="14" fontId="9" fillId="0" borderId="48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64" fontId="9" fillId="0" borderId="51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4" fillId="0" borderId="57" xfId="0" applyFont="1" applyBorder="1" applyAlignment="1">
      <alignment horizontal="center" vertical="center" textRotation="90"/>
    </xf>
    <xf numFmtId="0" fontId="6" fillId="0" borderId="57" xfId="0" applyFont="1" applyBorder="1" applyAlignment="1">
      <alignment horizontal="center" vertical="center"/>
    </xf>
    <xf numFmtId="0" fontId="6" fillId="0" borderId="57" xfId="0" applyFont="1" applyBorder="1" applyAlignment="1">
      <alignment horizontal="left" vertical="center"/>
    </xf>
    <xf numFmtId="1" fontId="6" fillId="0" borderId="57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 textRotation="90"/>
    </xf>
    <xf numFmtId="0" fontId="6" fillId="0" borderId="63" xfId="0" applyFont="1" applyBorder="1" applyAlignment="1">
      <alignment horizontal="center" vertical="center"/>
    </xf>
    <xf numFmtId="0" fontId="6" fillId="0" borderId="63" xfId="0" applyFont="1" applyBorder="1" applyAlignment="1">
      <alignment horizontal="left" vertical="center"/>
    </xf>
    <xf numFmtId="1" fontId="6" fillId="0" borderId="63" xfId="0" applyNumberFormat="1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15" fontId="13" fillId="0" borderId="0" xfId="0" applyNumberFormat="1" applyFont="1" applyAlignment="1">
      <alignment horizontal="left" vertical="top" indent="1"/>
    </xf>
    <xf numFmtId="0" fontId="5" fillId="0" borderId="59" xfId="0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6" xfId="0" applyFont="1" applyBorder="1" applyAlignment="1">
      <alignment horizontal="left" vertical="center" indent="1"/>
    </xf>
    <xf numFmtId="0" fontId="11" fillId="0" borderId="44" xfId="1" applyNumberFormat="1" applyFont="1" applyBorder="1" applyAlignment="1">
      <alignment vertical="center"/>
    </xf>
    <xf numFmtId="0" fontId="11" fillId="0" borderId="52" xfId="1" applyNumberFormat="1" applyFont="1" applyBorder="1" applyAlignment="1">
      <alignment vertical="center"/>
    </xf>
    <xf numFmtId="0" fontId="11" fillId="0" borderId="46" xfId="1" applyNumberFormat="1" applyFont="1" applyBorder="1" applyAlignment="1">
      <alignment vertical="center"/>
    </xf>
    <xf numFmtId="0" fontId="11" fillId="0" borderId="53" xfId="1" applyNumberFormat="1" applyFont="1" applyBorder="1" applyAlignment="1">
      <alignment vertical="center"/>
    </xf>
    <xf numFmtId="0" fontId="11" fillId="0" borderId="41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0" fontId="11" fillId="0" borderId="51" xfId="2" applyFont="1" applyBorder="1" applyAlignment="1">
      <alignment horizontal="center" vertical="center"/>
    </xf>
    <xf numFmtId="0" fontId="11" fillId="0" borderId="38" xfId="1" applyNumberFormat="1" applyFont="1" applyBorder="1" applyAlignment="1">
      <alignment vertical="center"/>
    </xf>
    <xf numFmtId="0" fontId="11" fillId="0" borderId="40" xfId="1" applyNumberFormat="1" applyFont="1" applyBorder="1" applyAlignment="1">
      <alignment vertical="center"/>
    </xf>
    <xf numFmtId="1" fontId="11" fillId="0" borderId="51" xfId="2" applyNumberFormat="1" applyFont="1" applyBorder="1" applyAlignment="1">
      <alignment horizontal="center" vertical="center"/>
    </xf>
    <xf numFmtId="164" fontId="11" fillId="0" borderId="51" xfId="2" applyNumberFormat="1" applyFont="1" applyBorder="1" applyAlignment="1">
      <alignment horizontal="center" vertical="center"/>
    </xf>
    <xf numFmtId="0" fontId="11" fillId="0" borderId="65" xfId="2" applyFont="1" applyBorder="1" applyAlignment="1">
      <alignment horizontal="center" vertical="center"/>
    </xf>
    <xf numFmtId="0" fontId="11" fillId="0" borderId="54" xfId="1" applyNumberFormat="1" applyFont="1" applyBorder="1" applyAlignment="1">
      <alignment vertical="center"/>
    </xf>
    <xf numFmtId="0" fontId="11" fillId="0" borderId="55" xfId="1" applyNumberFormat="1" applyFont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1" fontId="11" fillId="0" borderId="65" xfId="2" applyNumberFormat="1" applyFont="1" applyBorder="1" applyAlignment="1">
      <alignment horizontal="center" vertical="center"/>
    </xf>
    <xf numFmtId="164" fontId="11" fillId="0" borderId="65" xfId="2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1" fillId="0" borderId="53" xfId="0" applyFont="1" applyBorder="1" applyAlignment="1">
      <alignment vertical="center"/>
    </xf>
    <xf numFmtId="0" fontId="12" fillId="2" borderId="34" xfId="0" applyFont="1" applyFill="1" applyBorder="1" applyAlignment="1">
      <alignment horizontal="center" vertical="center" textRotation="90"/>
    </xf>
    <xf numFmtId="0" fontId="12" fillId="2" borderId="35" xfId="0" applyFont="1" applyFill="1" applyBorder="1" applyAlignment="1">
      <alignment horizontal="center" vertical="center" textRotation="90"/>
    </xf>
    <xf numFmtId="0" fontId="12" fillId="2" borderId="33" xfId="0" applyFont="1" applyFill="1" applyBorder="1" applyAlignment="1">
      <alignment horizontal="center" vertical="center" textRotation="90"/>
    </xf>
    <xf numFmtId="0" fontId="10" fillId="2" borderId="31" xfId="1" applyNumberFormat="1" applyFont="1" applyFill="1" applyBorder="1" applyAlignment="1">
      <alignment horizontal="left" vertical="center"/>
    </xf>
    <xf numFmtId="0" fontId="10" fillId="2" borderId="36" xfId="1" applyNumberFormat="1" applyFont="1" applyFill="1" applyBorder="1" applyAlignment="1">
      <alignment horizontal="left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/>
    </xf>
    <xf numFmtId="0" fontId="11" fillId="0" borderId="30" xfId="2" applyFont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 textRotation="90"/>
    </xf>
    <xf numFmtId="0" fontId="14" fillId="5" borderId="34" xfId="0" applyFont="1" applyFill="1" applyBorder="1" applyAlignment="1">
      <alignment horizontal="center" vertical="center" textRotation="90"/>
    </xf>
    <xf numFmtId="0" fontId="14" fillId="5" borderId="35" xfId="0" applyFont="1" applyFill="1" applyBorder="1" applyAlignment="1">
      <alignment horizontal="center" vertical="center" textRotation="90"/>
    </xf>
    <xf numFmtId="0" fontId="16" fillId="0" borderId="0" xfId="0" applyFont="1" applyAlignment="1">
      <alignment horizontal="center" vertical="center"/>
    </xf>
    <xf numFmtId="0" fontId="8" fillId="2" borderId="41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8" fillId="2" borderId="4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30" xfId="0" applyNumberFormat="1" applyFont="1" applyFill="1" applyBorder="1" applyAlignment="1">
      <alignment horizontal="center" vertical="center"/>
    </xf>
    <xf numFmtId="0" fontId="10" fillId="2" borderId="41" xfId="1" applyNumberFormat="1" applyFont="1" applyFill="1" applyBorder="1" applyAlignment="1">
      <alignment horizontal="right" vertical="center" indent="1"/>
    </xf>
    <xf numFmtId="0" fontId="10" fillId="2" borderId="42" xfId="1" applyNumberFormat="1" applyFont="1" applyFill="1" applyBorder="1" applyAlignment="1">
      <alignment horizontal="right" vertical="center" indent="1"/>
    </xf>
    <xf numFmtId="0" fontId="10" fillId="2" borderId="48" xfId="1" applyNumberFormat="1" applyFont="1" applyFill="1" applyBorder="1" applyAlignment="1">
      <alignment horizontal="right" vertical="center" indent="1"/>
    </xf>
    <xf numFmtId="0" fontId="1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3" fillId="0" borderId="29" xfId="0" applyNumberFormat="1" applyFont="1" applyBorder="1" applyAlignment="1">
      <alignment horizontal="left" vertical="top" indent="1"/>
    </xf>
    <xf numFmtId="15" fontId="13" fillId="0" borderId="2" xfId="0" applyNumberFormat="1" applyFont="1" applyBorder="1" applyAlignment="1">
      <alignment horizontal="left" vertical="top" indent="1"/>
    </xf>
    <xf numFmtId="15" fontId="13" fillId="0" borderId="30" xfId="0" applyNumberFormat="1" applyFont="1" applyBorder="1" applyAlignment="1">
      <alignment horizontal="left" vertical="top" indent="1"/>
    </xf>
    <xf numFmtId="0" fontId="10" fillId="2" borderId="46" xfId="1" applyNumberFormat="1" applyFont="1" applyFill="1" applyBorder="1" applyAlignment="1">
      <alignment horizontal="right" vertical="center" indent="1"/>
    </xf>
    <xf numFmtId="0" fontId="10" fillId="2" borderId="47" xfId="1" applyNumberFormat="1" applyFont="1" applyFill="1" applyBorder="1" applyAlignment="1">
      <alignment horizontal="right" vertical="center" indent="1"/>
    </xf>
    <xf numFmtId="0" fontId="10" fillId="2" borderId="53" xfId="1" applyNumberFormat="1" applyFont="1" applyFill="1" applyBorder="1" applyAlignment="1">
      <alignment horizontal="right" vertical="center" indent="1"/>
    </xf>
    <xf numFmtId="0" fontId="6" fillId="0" borderId="24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42" xfId="1" applyNumberFormat="1" applyFont="1" applyBorder="1" applyAlignment="1">
      <alignment horizontal="left" vertical="center" wrapText="1" indent="1"/>
    </xf>
    <xf numFmtId="0" fontId="7" fillId="0" borderId="2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0" borderId="42" xfId="0" applyFont="1" applyBorder="1" applyAlignment="1">
      <alignment horizontal="left" vertical="center"/>
    </xf>
    <xf numFmtId="0" fontId="18" fillId="0" borderId="48" xfId="0" applyFont="1" applyBorder="1" applyAlignment="1">
      <alignment horizontal="left" vertical="center"/>
    </xf>
    <xf numFmtId="0" fontId="17" fillId="0" borderId="41" xfId="1" applyNumberFormat="1" applyFont="1" applyBorder="1" applyAlignment="1">
      <alignment horizontal="left" vertical="center" indent="1"/>
    </xf>
    <xf numFmtId="0" fontId="17" fillId="0" borderId="42" xfId="1" applyNumberFormat="1" applyFont="1" applyBorder="1" applyAlignment="1">
      <alignment horizontal="left" vertical="center" indent="1"/>
    </xf>
    <xf numFmtId="0" fontId="14" fillId="0" borderId="25" xfId="0" applyFont="1" applyBorder="1" applyAlignment="1">
      <alignment horizontal="center" vertical="center" textRotation="90"/>
    </xf>
    <xf numFmtId="0" fontId="14" fillId="0" borderId="26" xfId="0" applyFont="1" applyBorder="1" applyAlignment="1">
      <alignment horizontal="center" vertical="center" textRotation="90"/>
    </xf>
    <xf numFmtId="0" fontId="14" fillId="0" borderId="27" xfId="0" applyFont="1" applyBorder="1" applyAlignment="1">
      <alignment horizontal="center" vertical="center" textRotation="90"/>
    </xf>
    <xf numFmtId="0" fontId="14" fillId="0" borderId="28" xfId="0" applyFont="1" applyBorder="1" applyAlignment="1">
      <alignment horizontal="center" vertical="center" textRotation="90"/>
    </xf>
    <xf numFmtId="0" fontId="14" fillId="0" borderId="29" xfId="0" applyFont="1" applyBorder="1" applyAlignment="1">
      <alignment horizontal="center" vertical="center" textRotation="90"/>
    </xf>
    <xf numFmtId="0" fontId="14" fillId="0" borderId="30" xfId="0" applyFont="1" applyBorder="1" applyAlignment="1">
      <alignment horizontal="center" vertical="center" textRotation="90"/>
    </xf>
    <xf numFmtId="0" fontId="17" fillId="0" borderId="29" xfId="1" applyNumberFormat="1" applyFont="1" applyBorder="1" applyAlignment="1">
      <alignment horizontal="left" vertical="center" indent="1"/>
    </xf>
    <xf numFmtId="0" fontId="17" fillId="0" borderId="2" xfId="1" applyNumberFormat="1" applyFont="1" applyBorder="1" applyAlignment="1">
      <alignment horizontal="left" vertical="center" indent="1"/>
    </xf>
    <xf numFmtId="0" fontId="9" fillId="0" borderId="30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20" fillId="0" borderId="47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1"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AE9F8"/>
      <color rgb="FF6BA5DF"/>
      <color rgb="FF679CE3"/>
      <color rgb="FF0A74BD"/>
      <color rgb="FFFFB3B3"/>
      <color rgb="FFFFBDBD"/>
      <color rgb="FFFFB7B7"/>
      <color rgb="FFFAAAAA"/>
      <color rgb="FFE8E8E8"/>
      <color rgb="FFDCD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194053</xdr:colOff>
      <xdr:row>2</xdr:row>
      <xdr:rowOff>37348</xdr:rowOff>
    </xdr:from>
    <xdr:to>
      <xdr:col>3</xdr:col>
      <xdr:colOff>304507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11254</xdr:colOff>
      <xdr:row>0</xdr:row>
      <xdr:rowOff>0</xdr:rowOff>
    </xdr:from>
    <xdr:to>
      <xdr:col>13</xdr:col>
      <xdr:colOff>58238</xdr:colOff>
      <xdr:row>0</xdr:row>
      <xdr:rowOff>619188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1148392" y="0"/>
          <a:ext cx="8640000" cy="619188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3</xdr:col>
      <xdr:colOff>41248</xdr:colOff>
      <xdr:row>0</xdr:row>
      <xdr:rowOff>56963</xdr:rowOff>
    </xdr:from>
    <xdr:to>
      <xdr:col>4</xdr:col>
      <xdr:colOff>667407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1682479" y="56963"/>
          <a:ext cx="1083359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92511</xdr:colOff>
      <xdr:row>0</xdr:row>
      <xdr:rowOff>56963</xdr:rowOff>
    </xdr:from>
    <xdr:to>
      <xdr:col>5</xdr:col>
      <xdr:colOff>1153733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2976388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483952</xdr:colOff>
      <xdr:row>0</xdr:row>
      <xdr:rowOff>56963</xdr:rowOff>
    </xdr:from>
    <xdr:to>
      <xdr:col>11</xdr:col>
      <xdr:colOff>378373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8133260" y="56963"/>
          <a:ext cx="1078451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737295</xdr:colOff>
      <xdr:row>0</xdr:row>
      <xdr:rowOff>56963</xdr:rowOff>
    </xdr:from>
    <xdr:to>
      <xdr:col>9</xdr:col>
      <xdr:colOff>262759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6845018" y="56963"/>
          <a:ext cx="1067049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1391327</xdr:colOff>
      <xdr:row>0</xdr:row>
      <xdr:rowOff>56963</xdr:rowOff>
    </xdr:from>
    <xdr:to>
      <xdr:col>7</xdr:col>
      <xdr:colOff>257504</xdr:colOff>
      <xdr:row>0</xdr:row>
      <xdr:rowOff>818591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FC03251-F37E-69E3-0C6D-FE2D44699A0E}"/>
            </a:ext>
          </a:extLst>
        </xdr:cNvPr>
        <xdr:cNvGrpSpPr/>
      </xdr:nvGrpSpPr>
      <xdr:grpSpPr>
        <a:xfrm>
          <a:off x="4275204" y="56963"/>
          <a:ext cx="1099423" cy="761628"/>
          <a:chOff x="3765257" y="56963"/>
          <a:chExt cx="1061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061003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3765257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176033" y="462112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93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357800</xdr:colOff>
      <xdr:row>0</xdr:row>
      <xdr:rowOff>56962</xdr:rowOff>
    </xdr:from>
    <xdr:to>
      <xdr:col>8</xdr:col>
      <xdr:colOff>609602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474923" y="56962"/>
          <a:ext cx="1242402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247199</xdr:colOff>
      <xdr:row>19</xdr:row>
      <xdr:rowOff>174044</xdr:rowOff>
    </xdr:from>
    <xdr:to>
      <xdr:col>9</xdr:col>
      <xdr:colOff>314392</xdr:colOff>
      <xdr:row>59</xdr:row>
      <xdr:rowOff>0</xdr:rowOff>
    </xdr:to>
    <xdr:pic>
      <xdr:nvPicPr>
        <xdr:cNvPr id="3" name="Imagen 4">
          <a:extLst>
            <a:ext uri="{FF2B5EF4-FFF2-40B4-BE49-F238E27FC236}">
              <a16:creationId xmlns:a16="http://schemas.microsoft.com/office/drawing/2014/main" id="{51A84892-1AE7-4055-818A-77C371FE1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8944" y="4302699"/>
          <a:ext cx="4833157" cy="7030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525780</xdr:colOff>
          <xdr:row>3</xdr:row>
          <xdr:rowOff>167640</xdr:rowOff>
        </xdr:from>
        <xdr:to>
          <xdr:col>11</xdr:col>
          <xdr:colOff>373380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662026</xdr:colOff>
      <xdr:row>0</xdr:row>
      <xdr:rowOff>0</xdr:rowOff>
    </xdr:from>
    <xdr:to>
      <xdr:col>18</xdr:col>
      <xdr:colOff>590578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8272" y="0"/>
          <a:ext cx="6424450" cy="8983066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94"/>
  <sheetViews>
    <sheetView showGridLines="0" showRowColHeaders="0" tabSelected="1" showRuler="0" zoomScale="130" zoomScaleNormal="130" zoomScaleSheetLayoutView="100" workbookViewId="0">
      <pane ySplit="1" topLeftCell="A2" activePane="bottomLeft" state="frozen"/>
      <selection pane="bottomLeft" activeCell="E5" sqref="E5:I5"/>
    </sheetView>
  </sheetViews>
  <sheetFormatPr baseColWidth="10" defaultColWidth="11.109375" defaultRowHeight="12" x14ac:dyDescent="0.3"/>
  <cols>
    <col min="1" max="1" width="16.5546875" style="87" customWidth="1"/>
    <col min="2" max="2" width="4.44140625" style="67" customWidth="1"/>
    <col min="3" max="3" width="2.88671875" style="68" customWidth="1"/>
    <col min="4" max="4" width="6.6640625" style="67" customWidth="1"/>
    <col min="5" max="5" width="11.44140625" style="69" customWidth="1"/>
    <col min="6" max="6" width="24" style="69" customWidth="1"/>
    <col min="7" max="7" width="8.5546875" style="67" customWidth="1"/>
    <col min="8" max="8" width="14.44140625" style="69" customWidth="1"/>
    <col min="9" max="9" width="22.44140625" style="69" customWidth="1"/>
    <col min="10" max="10" width="8.6640625" style="70" customWidth="1"/>
    <col min="11" max="12" width="8.6640625" style="67" customWidth="1"/>
    <col min="13" max="13" width="4.44140625" style="67" customWidth="1"/>
    <col min="14" max="14" width="5.44140625" style="67" customWidth="1"/>
    <col min="15" max="16384" width="11.109375" style="67"/>
  </cols>
  <sheetData>
    <row r="1" spans="1:13" ht="73.2" customHeight="1" x14ac:dyDescent="0.3">
      <c r="A1" s="112" t="s">
        <v>338</v>
      </c>
    </row>
    <row r="2" spans="1:13" ht="25.95" customHeight="1" x14ac:dyDescent="0.3">
      <c r="B2" s="75"/>
      <c r="C2" s="71"/>
      <c r="D2" s="72"/>
      <c r="E2" s="73"/>
      <c r="F2" s="73"/>
      <c r="G2" s="72"/>
      <c r="H2" s="73"/>
      <c r="I2" s="73"/>
      <c r="J2" s="74"/>
      <c r="K2" s="72"/>
      <c r="L2" s="72"/>
      <c r="M2" s="77"/>
    </row>
    <row r="3" spans="1:13" ht="12.3" customHeight="1" x14ac:dyDescent="0.3">
      <c r="B3" s="76"/>
      <c r="C3" s="168" t="s">
        <v>0</v>
      </c>
      <c r="D3" s="169"/>
      <c r="E3" s="152" t="s">
        <v>1</v>
      </c>
      <c r="F3" s="153"/>
      <c r="G3" s="153"/>
      <c r="H3" s="153"/>
      <c r="I3" s="154"/>
      <c r="J3" s="148" t="s">
        <v>2</v>
      </c>
      <c r="K3" s="148"/>
      <c r="L3" s="148"/>
      <c r="M3" s="78"/>
    </row>
    <row r="4" spans="1:13" ht="12.3" customHeight="1" x14ac:dyDescent="0.3">
      <c r="B4" s="76"/>
      <c r="C4" s="170"/>
      <c r="D4" s="171"/>
      <c r="E4" s="155"/>
      <c r="F4" s="156"/>
      <c r="G4" s="156"/>
      <c r="H4" s="156"/>
      <c r="I4" s="157"/>
      <c r="J4" s="149"/>
      <c r="K4" s="149"/>
      <c r="L4" s="149"/>
      <c r="M4" s="78"/>
    </row>
    <row r="5" spans="1:13" ht="12.3" customHeight="1" x14ac:dyDescent="0.3">
      <c r="B5" s="76"/>
      <c r="C5" s="170"/>
      <c r="D5" s="171"/>
      <c r="E5" s="158" t="s">
        <v>3</v>
      </c>
      <c r="F5" s="159"/>
      <c r="G5" s="159"/>
      <c r="H5" s="159"/>
      <c r="I5" s="160"/>
      <c r="J5" s="178" t="s">
        <v>131</v>
      </c>
      <c r="K5" s="179"/>
      <c r="L5" s="176" t="s">
        <v>4</v>
      </c>
      <c r="M5" s="78"/>
    </row>
    <row r="6" spans="1:13" ht="12.3" customHeight="1" x14ac:dyDescent="0.3">
      <c r="B6" s="76"/>
      <c r="C6" s="172"/>
      <c r="D6" s="173"/>
      <c r="E6" s="161" t="s">
        <v>5</v>
      </c>
      <c r="F6" s="162"/>
      <c r="G6" s="162"/>
      <c r="H6" s="162"/>
      <c r="I6" s="163"/>
      <c r="J6" s="180"/>
      <c r="K6" s="181"/>
      <c r="L6" s="177"/>
      <c r="M6" s="78"/>
    </row>
    <row r="7" spans="1:13" ht="8.6999999999999993" customHeight="1" x14ac:dyDescent="0.3">
      <c r="B7" s="76"/>
      <c r="C7" s="6"/>
      <c r="D7" s="2"/>
      <c r="E7" s="2"/>
      <c r="F7" s="2"/>
      <c r="G7" s="2"/>
      <c r="H7" s="2"/>
      <c r="I7" s="2"/>
      <c r="J7" s="50"/>
      <c r="K7" s="2"/>
      <c r="L7" s="2"/>
      <c r="M7" s="78"/>
    </row>
    <row r="8" spans="1:13" ht="14.4" customHeight="1" x14ac:dyDescent="0.3">
      <c r="B8" s="76"/>
      <c r="C8" s="166" t="s">
        <v>6</v>
      </c>
      <c r="D8" s="167"/>
      <c r="E8" s="167"/>
      <c r="F8" s="164" t="str">
        <f>Notas!B4&amp;" "&amp;Notas!B3</f>
        <v>ANDRES MAURICIO CAICEDO CORTES</v>
      </c>
      <c r="G8" s="164"/>
      <c r="H8" s="164"/>
      <c r="I8" s="165"/>
      <c r="J8" s="151" t="s">
        <v>7</v>
      </c>
      <c r="K8" s="151"/>
      <c r="L8" s="49">
        <f ca="1">TODAY()</f>
        <v>46147</v>
      </c>
      <c r="M8" s="78"/>
    </row>
    <row r="9" spans="1:13" ht="14.4" customHeight="1" x14ac:dyDescent="0.3">
      <c r="B9" s="76"/>
      <c r="C9" s="174" t="s">
        <v>8</v>
      </c>
      <c r="D9" s="175"/>
      <c r="E9" s="175"/>
      <c r="F9" s="182" t="s">
        <v>132</v>
      </c>
      <c r="G9" s="182"/>
      <c r="H9" s="182"/>
      <c r="I9" s="113" t="s">
        <v>338</v>
      </c>
      <c r="J9" s="150" t="s">
        <v>9</v>
      </c>
      <c r="K9" s="150"/>
      <c r="L9" s="25" t="str">
        <f>LEFT(Notas!A9,8)</f>
        <v>2026 - 1</v>
      </c>
      <c r="M9" s="78"/>
    </row>
    <row r="10" spans="1:13" ht="8.6999999999999993" customHeight="1" x14ac:dyDescent="0.3">
      <c r="B10" s="76"/>
      <c r="C10" s="6"/>
      <c r="D10" s="27"/>
      <c r="E10" s="29"/>
      <c r="F10" s="29"/>
      <c r="G10" s="27"/>
      <c r="H10" s="51"/>
      <c r="I10" s="29"/>
      <c r="J10" s="28"/>
      <c r="K10" s="27"/>
      <c r="L10" s="27"/>
      <c r="M10" s="78"/>
    </row>
    <row r="11" spans="1:13" ht="18" customHeight="1" x14ac:dyDescent="0.3">
      <c r="B11" s="76"/>
      <c r="C11" s="119" t="s">
        <v>10</v>
      </c>
      <c r="D11" s="120"/>
      <c r="E11" s="117" t="s">
        <v>327</v>
      </c>
      <c r="F11" s="118"/>
      <c r="G11" s="22" t="s">
        <v>10</v>
      </c>
      <c r="H11" s="117" t="s">
        <v>11</v>
      </c>
      <c r="I11" s="118"/>
      <c r="J11" s="24" t="s">
        <v>12</v>
      </c>
      <c r="K11" s="23" t="s">
        <v>13</v>
      </c>
      <c r="L11" s="23" t="s">
        <v>14</v>
      </c>
      <c r="M11" s="78"/>
    </row>
    <row r="12" spans="1:13" ht="14.25" customHeight="1" x14ac:dyDescent="0.3">
      <c r="B12" s="76"/>
      <c r="C12" s="114" t="s">
        <v>133</v>
      </c>
      <c r="D12" s="39" t="s">
        <v>22</v>
      </c>
      <c r="E12" s="91" t="s">
        <v>23</v>
      </c>
      <c r="F12" s="92"/>
      <c r="G12" s="40" t="str">
        <f>IF($L$9="","",IFERROR(VLOOKUP(IFERROR(VLOOKUP(D12,Notas!B:B,1,FALSE),VLOOKUP(D12,Equivalencia!A:F,5,FALSE)),Notas!B:B,1,FALSE),VLOOKUP(D12,Equivalencia!A:H,8,FALSE)))</f>
        <v>CB100</v>
      </c>
      <c r="H12" s="91" t="str">
        <f>IFERROR(IF($L$9="","",IFERROR(IFERROR(VLOOKUP(G12,Equivalencia!A:B,2,FALSE),VLOOKUP(G12,Equivalencia!E:F,2,FALSE)),VLOOKUP(G12,Equivalencia!H:I,2,FALSE))),"")</f>
        <v>Fundamentos de Matemáticas</v>
      </c>
      <c r="I12" s="92"/>
      <c r="J12" s="41">
        <v>2</v>
      </c>
      <c r="K12" s="42">
        <f>IFERROR(VLOOKUP(G12,Notas!B:K,8,FALSE)/1000,"")</f>
        <v>6.96</v>
      </c>
      <c r="L12" s="43" t="str">
        <f>IFERROR(IF(VLOOKUP(G12,Notas!B:K,9,FALSE)=".000","",VLOOKUP(G12,Notas!B:K,9,FALSE)/1000),"")</f>
        <v/>
      </c>
      <c r="M12" s="78"/>
    </row>
    <row r="13" spans="1:13" ht="14.25" customHeight="1" x14ac:dyDescent="0.3">
      <c r="B13" s="76"/>
      <c r="C13" s="114"/>
      <c r="D13" s="39" t="s">
        <v>16</v>
      </c>
      <c r="E13" s="91" t="s">
        <v>17</v>
      </c>
      <c r="F13" s="92"/>
      <c r="G13" s="40" t="str">
        <f>IF($L$9="","",IFERROR(VLOOKUP(IFERROR(VLOOKUP(D13,Notas!B:B,1,FALSE),VLOOKUP(D13,Equivalencia!A:F,5,FALSE)),Notas!B:B,1,FALSE),VLOOKUP(D13,Equivalencia!A:H,8,FALSE)))</f>
        <v>CB101</v>
      </c>
      <c r="H13" s="91" t="str">
        <f>IFERROR(IF($L$9="","",IFERROR(IFERROR(VLOOKUP(G13,Equivalencia!A:B,2,FALSE),VLOOKUP(G13,Equivalencia!E:F,2,FALSE)),VLOOKUP(G13,Equivalencia!H:I,2,FALSE))),"")</f>
        <v>Matemática I</v>
      </c>
      <c r="I13" s="92"/>
      <c r="J13" s="41">
        <v>4</v>
      </c>
      <c r="K13" s="42">
        <f>IFERROR(VLOOKUP(G13,Notas!B:K,8,FALSE)/1000,"")</f>
        <v>7.58</v>
      </c>
      <c r="L13" s="43" t="str">
        <f>IFERROR(IF(VLOOKUP(G13,Notas!B:K,9,FALSE)=".000","",VLOOKUP(G13,Notas!B:K,9,FALSE)/1000),"")</f>
        <v/>
      </c>
      <c r="M13" s="78"/>
    </row>
    <row r="14" spans="1:13" ht="14.25" customHeight="1" x14ac:dyDescent="0.3">
      <c r="B14" s="76"/>
      <c r="C14" s="114"/>
      <c r="D14" s="39" t="s">
        <v>18</v>
      </c>
      <c r="E14" s="91" t="s">
        <v>19</v>
      </c>
      <c r="F14" s="92"/>
      <c r="G14" s="40" t="str">
        <f>IF($L$9="","",IFERROR(VLOOKUP(IFERROR(VLOOKUP(D14,Notas!B:B,1,FALSE),VLOOKUP(D14,Equivalencia!A:F,5,FALSE)),Notas!B:B,1,FALSE),VLOOKUP(D14,Equivalencia!A:H,8,FALSE)))</f>
        <v>CB113</v>
      </c>
      <c r="H14" s="91" t="str">
        <f>IFERROR(IF($L$9="","",IFERROR(IFERROR(VLOOKUP(G14,Equivalencia!A:B,2,FALSE),VLOOKUP(G14,Equivalencia!E:F,2,FALSE)),VLOOKUP(G14,Equivalencia!H:I,2,FALSE))),"")</f>
        <v>Cálculo Integral</v>
      </c>
      <c r="I14" s="92"/>
      <c r="J14" s="41">
        <v>4</v>
      </c>
      <c r="K14" s="42">
        <f>IFERROR(VLOOKUP(G14,Notas!B:K,8,FALSE)/1000,"")</f>
        <v>8.64</v>
      </c>
      <c r="L14" s="43" t="str">
        <f>IFERROR(IF(VLOOKUP(G14,Notas!B:K,9,FALSE)=".000","",VLOOKUP(G14,Notas!B:K,9,FALSE)/1000),"")</f>
        <v/>
      </c>
      <c r="M14" s="78"/>
    </row>
    <row r="15" spans="1:13" ht="14.25" customHeight="1" x14ac:dyDescent="0.3">
      <c r="B15" s="76"/>
      <c r="C15" s="114"/>
      <c r="D15" s="39" t="s">
        <v>114</v>
      </c>
      <c r="E15" s="91" t="s">
        <v>20</v>
      </c>
      <c r="F15" s="92"/>
      <c r="G15" s="40" t="str">
        <f>IF($L$9="","",IFERROR(VLOOKUP(IFERROR(VLOOKUP(D15,Notas!B:B,1,FALSE),VLOOKUP(D15,Equivalencia!A:F,5,FALSE)),Notas!B:B,1,FALSE),VLOOKUP(D15,Equivalencia!A:H,8,FALSE)))</f>
        <v>CB403</v>
      </c>
      <c r="H15" s="91" t="str">
        <f>IFERROR(IF($L$9="","",IFERROR(IFERROR(VLOOKUP(G15,Equivalencia!A:B,2,FALSE),VLOOKUP(G15,Equivalencia!E:F,2,FALSE)),VLOOKUP(G15,Equivalencia!H:I,2,FALSE))),"")</f>
        <v>Estadística Y Probabilidad</v>
      </c>
      <c r="I15" s="92"/>
      <c r="J15" s="41">
        <v>3</v>
      </c>
      <c r="K15" s="42">
        <f>IFERROR(VLOOKUP(G15,Notas!B:K,8,FALSE)/1000,"")</f>
        <v>7.56</v>
      </c>
      <c r="L15" s="43" t="str">
        <f>IFERROR(IF(VLOOKUP(G15,Notas!B:K,9,FALSE)=".000","",VLOOKUP(G15,Notas!B:K,9,FALSE)/1000),"")</f>
        <v/>
      </c>
      <c r="M15" s="78"/>
    </row>
    <row r="16" spans="1:13" ht="14.25" customHeight="1" x14ac:dyDescent="0.3">
      <c r="B16" s="76"/>
      <c r="C16" s="115"/>
      <c r="D16" s="44" t="s">
        <v>24</v>
      </c>
      <c r="E16" s="93" t="s">
        <v>25</v>
      </c>
      <c r="F16" s="94"/>
      <c r="G16" s="45" t="str">
        <f>IF($L$9="","",IFERROR(VLOOKUP(IFERROR(VLOOKUP(D16,Notas!B:B,1,FALSE),VLOOKUP(D16,Equivalencia!A:F,5,FALSE)),Notas!B:B,1,FALSE),VLOOKUP(D16,Equivalencia!A:H,8,FALSE)))</f>
        <v>IN509</v>
      </c>
      <c r="H16" s="93" t="str">
        <f>IFERROR(IF($L$9="","",IFERROR(IFERROR(VLOOKUP(G16,Equivalencia!A:B,2,FALSE),VLOOKUP(G16,Equivalencia!E:F,2,FALSE)),VLOOKUP(G16,Equivalencia!H:I,2,FALSE))),"")</f>
        <v>Fundamento de Motores</v>
      </c>
      <c r="I16" s="94"/>
      <c r="J16" s="46">
        <v>1</v>
      </c>
      <c r="K16" s="47">
        <f>IFERROR(VLOOKUP(G16,Notas!B:K,8,FALSE)/1000,"")</f>
        <v>8.66</v>
      </c>
      <c r="L16" s="48" t="str">
        <f>IFERROR(IF(VLOOKUP(G16,Notas!B:K,9,FALSE)=".000","",VLOOKUP(G16,Notas!B:K,9,FALSE)/1000),"")</f>
        <v/>
      </c>
      <c r="M16" s="78"/>
    </row>
    <row r="17" spans="2:13" ht="14.25" customHeight="1" x14ac:dyDescent="0.3">
      <c r="B17" s="76"/>
      <c r="C17" s="116" t="s">
        <v>26</v>
      </c>
      <c r="D17" s="34" t="s">
        <v>39</v>
      </c>
      <c r="E17" s="95" t="s">
        <v>40</v>
      </c>
      <c r="F17" s="96"/>
      <c r="G17" s="35" t="str">
        <f>IF($L$9="","",IFERROR(VLOOKUP(IFERROR(VLOOKUP(D17,Notas!B:B,1,FALSE),VLOOKUP(D17,Equivalencia!A:F,5,FALSE)),Notas!B:B,1,FALSE),VLOOKUP(D17,Equivalencia!A:H,8,FALSE)))</f>
        <v>CN101</v>
      </c>
      <c r="H17" s="95" t="str">
        <f>IFERROR(IF($L$9="","",IFERROR(IFERROR(VLOOKUP(G17,Equivalencia!A:B,2,FALSE),VLOOKUP(G17,Equivalencia!E:F,2,FALSE)),VLOOKUP(G17,Equivalencia!H:I,2,FALSE))),"")</f>
        <v>Orientación Naval</v>
      </c>
      <c r="I17" s="96"/>
      <c r="J17" s="36">
        <v>1</v>
      </c>
      <c r="K17" s="37">
        <f>IFERROR(VLOOKUP(G17,Notas!B:K,8,FALSE)/1000,"")</f>
        <v>10</v>
      </c>
      <c r="L17" s="38" t="str">
        <f>IFERROR(IF(VLOOKUP(G17,Notas!B:K,9,FALSE)=".000","",VLOOKUP(G17,Notas!B:K,9,FALSE)/1000),"")</f>
        <v/>
      </c>
      <c r="M17" s="78"/>
    </row>
    <row r="18" spans="2:13" ht="14.25" customHeight="1" x14ac:dyDescent="0.3">
      <c r="B18" s="76"/>
      <c r="C18" s="114"/>
      <c r="D18" s="39" t="s">
        <v>43</v>
      </c>
      <c r="E18" s="91" t="s">
        <v>44</v>
      </c>
      <c r="F18" s="92"/>
      <c r="G18" s="40" t="str">
        <f>IF($L$9="","",IFERROR(VLOOKUP(IFERROR(VLOOKUP(D18,Notas!B:B,1,FALSE),VLOOKUP(D18,Equivalencia!A:F,5,FALSE)),Notas!B:B,1,FALSE),VLOOKUP(D18,Equivalencia!A:H,8,FALSE)))</f>
        <v>CS205</v>
      </c>
      <c r="H18" s="91" t="str">
        <f>IFERROR(IF($L$9="","",IFERROR(IFERROR(VLOOKUP(G18,Equivalencia!A:B,2,FALSE),VLOOKUP(G18,Equivalencia!E:F,2,FALSE)),VLOOKUP(G18,Equivalencia!H:I,2,FALSE))),"")</f>
        <v>Historia Naval</v>
      </c>
      <c r="I18" s="92"/>
      <c r="J18" s="41">
        <v>2</v>
      </c>
      <c r="K18" s="42">
        <f>IFERROR(VLOOKUP(G18,Notas!B:K,8,FALSE)/1000,"")</f>
        <v>9.24</v>
      </c>
      <c r="L18" s="43" t="str">
        <f>IFERROR(IF(VLOOKUP(G18,Notas!B:K,9,FALSE)=".000","",VLOOKUP(G18,Notas!B:K,9,FALSE)/1000),"")</f>
        <v/>
      </c>
      <c r="M18" s="78"/>
    </row>
    <row r="19" spans="2:13" ht="14.25" customHeight="1" x14ac:dyDescent="0.3">
      <c r="B19" s="76"/>
      <c r="C19" s="114"/>
      <c r="D19" s="39" t="s">
        <v>31</v>
      </c>
      <c r="E19" s="91" t="s">
        <v>32</v>
      </c>
      <c r="F19" s="92"/>
      <c r="G19" s="40" t="str">
        <f>IF($L$9="","",IFERROR(VLOOKUP(IFERROR(VLOOKUP(D19,Notas!B:B,1,FALSE),VLOOKUP(D19,Equivalencia!A:F,5,FALSE)),Notas!B:B,1,FALSE),VLOOKUP(D19,Equivalencia!A:H,8,FALSE)))</f>
        <v>CN300</v>
      </c>
      <c r="H19" s="91" t="str">
        <f>IFERROR(IF($L$9="","",IFERROR(IFERROR(VLOOKUP(G19,Equivalencia!A:B,2,FALSE),VLOOKUP(G19,Equivalencia!E:F,2,FALSE)),VLOOKUP(G19,Equivalencia!H:I,2,FALSE))),"")</f>
        <v>Marinería</v>
      </c>
      <c r="I19" s="92"/>
      <c r="J19" s="41">
        <v>2</v>
      </c>
      <c r="K19" s="42">
        <f>IFERROR(VLOOKUP(G19,Notas!B:K,8,FALSE)/1000,"")</f>
        <v>8.3000000000000007</v>
      </c>
      <c r="L19" s="43" t="str">
        <f>IFERROR(IF(VLOOKUP(G19,Notas!B:K,9,FALSE)=".000","",VLOOKUP(G19,Notas!B:K,9,FALSE)/1000),"")</f>
        <v/>
      </c>
      <c r="M19" s="78"/>
    </row>
    <row r="20" spans="2:13" ht="14.25" customHeight="1" x14ac:dyDescent="0.3">
      <c r="B20" s="76"/>
      <c r="C20" s="114"/>
      <c r="D20" s="39" t="s">
        <v>41</v>
      </c>
      <c r="E20" s="91" t="s">
        <v>42</v>
      </c>
      <c r="F20" s="92"/>
      <c r="G20" s="40" t="str">
        <f>IF($L$9="","",IFERROR(VLOOKUP(IFERROR(VLOOKUP(D20,Notas!B:B,1,FALSE),VLOOKUP(D20,Equivalencia!A:F,5,FALSE)),Notas!B:B,1,FALSE),VLOOKUP(D20,Equivalencia!A:H,8,FALSE)))</f>
        <v>CS103</v>
      </c>
      <c r="H20" s="91" t="str">
        <f>IFERROR(IF($L$9="","",IFERROR(IFERROR(VLOOKUP(G20,Equivalencia!A:B,2,FALSE),VLOOKUP(G20,Equivalencia!E:F,2,FALSE)),VLOOKUP(G20,Equivalencia!H:I,2,FALSE))),"")</f>
        <v>Derecho del Mar y Fluvial</v>
      </c>
      <c r="I20" s="92"/>
      <c r="J20" s="41">
        <v>2</v>
      </c>
      <c r="K20" s="42">
        <f>IFERROR(VLOOKUP(G20,Notas!B:K,8,FALSE)/1000,"")</f>
        <v>10</v>
      </c>
      <c r="L20" s="43" t="str">
        <f>IFERROR(IF(VLOOKUP(G20,Notas!B:K,9,FALSE)=".000","",VLOOKUP(G20,Notas!B:K,9,FALSE)/1000),"")</f>
        <v/>
      </c>
      <c r="M20" s="78"/>
    </row>
    <row r="21" spans="2:13" ht="14.25" customHeight="1" x14ac:dyDescent="0.3">
      <c r="B21" s="76"/>
      <c r="C21" s="114"/>
      <c r="D21" s="39" t="s">
        <v>134</v>
      </c>
      <c r="E21" s="91" t="s">
        <v>135</v>
      </c>
      <c r="F21" s="92"/>
      <c r="G21" s="40" t="str">
        <f>IF($L$9="","",IFERROR(VLOOKUP(IFERROR(VLOOKUP(D21,Notas!B:B,1,FALSE),VLOOKUP(D21,Equivalencia!A:F,5,FALSE)),Notas!B:B,1,FALSE),VLOOKUP(D21,Equivalencia!A:H,8,FALSE)))</f>
        <v>IM200</v>
      </c>
      <c r="H21" s="91" t="str">
        <f>IFERROR(IF($L$9="","",IFERROR(IFERROR(VLOOKUP(G21,Equivalencia!A:B,2,FALSE),VLOOKUP(G21,Equivalencia!E:F,2,FALSE)),VLOOKUP(G21,Equivalencia!H:I,2,FALSE))),"")</f>
        <v>Comunicaciones IM</v>
      </c>
      <c r="I21" s="92"/>
      <c r="J21" s="41">
        <v>1</v>
      </c>
      <c r="K21" s="42">
        <f>IFERROR(VLOOKUP(G21,Notas!B:K,8,FALSE)/1000,"")</f>
        <v>8.5</v>
      </c>
      <c r="L21" s="43" t="str">
        <f>IFERROR(IF(VLOOKUP(G21,Notas!B:K,9,FALSE)=".000","",VLOOKUP(G21,Notas!B:K,9,FALSE)/1000),"")</f>
        <v/>
      </c>
      <c r="M21" s="78"/>
    </row>
    <row r="22" spans="2:13" ht="14.25" customHeight="1" x14ac:dyDescent="0.3">
      <c r="B22" s="76"/>
      <c r="C22" s="114"/>
      <c r="D22" s="39" t="s">
        <v>120</v>
      </c>
      <c r="E22" s="91" t="s">
        <v>178</v>
      </c>
      <c r="F22" s="92"/>
      <c r="G22" s="40" t="str">
        <f>IF($L$9="","",IFERROR(VLOOKUP(IFERROR(VLOOKUP(D22,Notas!B:B,1,FALSE),VLOOKUP(D22,Equivalencia!A:F,5,FALSE)),Notas!B:B,1,FALSE),VLOOKUP(D22,Equivalencia!A:H,8,FALSE)))</f>
        <v>IM232</v>
      </c>
      <c r="H22" s="91" t="str">
        <f>IFERROR(IF($L$9="","",IFERROR(IFERROR(VLOOKUP(G22,Equivalencia!A:B,2,FALSE),VLOOKUP(G22,Equivalencia!E:F,2,FALSE)),VLOOKUP(G22,Equivalencia!H:I,2,FALSE))),"")</f>
        <v>Principios de Armamento y Tiro</v>
      </c>
      <c r="I22" s="92"/>
      <c r="J22" s="41">
        <v>3</v>
      </c>
      <c r="K22" s="42">
        <f>IFERROR(VLOOKUP(G22,Notas!B:K,8,FALSE)/1000,"")</f>
        <v>10</v>
      </c>
      <c r="L22" s="43" t="str">
        <f>IFERROR(IF(VLOOKUP(G22,Notas!B:K,9,FALSE)=".000","",VLOOKUP(G22,Notas!B:K,9,FALSE)/1000),"")</f>
        <v/>
      </c>
      <c r="M22" s="78"/>
    </row>
    <row r="23" spans="2:13" ht="14.25" customHeight="1" x14ac:dyDescent="0.3">
      <c r="B23" s="76"/>
      <c r="C23" s="114"/>
      <c r="D23" s="39" t="s">
        <v>27</v>
      </c>
      <c r="E23" s="91" t="s">
        <v>28</v>
      </c>
      <c r="F23" s="92"/>
      <c r="G23" s="40" t="str">
        <f>IF($L$9="","",IFERROR(VLOOKUP(IFERROR(VLOOKUP(D23,Notas!B:B,1,FALSE),VLOOKUP(D23,Equivalencia!A:F,5,FALSE)),Notas!B:B,1,FALSE),VLOOKUP(D23,Equivalencia!A:H,8,FALSE)))</f>
        <v>CN311</v>
      </c>
      <c r="H23" s="91" t="str">
        <f>IFERROR(IF($L$9="","",IFERROR(IFERROR(VLOOKUP(G23,Equivalencia!A:B,2,FALSE),VLOOKUP(G23,Equivalencia!E:F,2,FALSE)),VLOOKUP(G23,Equivalencia!H:I,2,FALSE))),"")</f>
        <v>Comunicaciones Electromagnéticas</v>
      </c>
      <c r="I23" s="92"/>
      <c r="J23" s="41">
        <v>2</v>
      </c>
      <c r="K23" s="42">
        <f>IFERROR(VLOOKUP(G23,Notas!B:K,8,FALSE)/1000,"")</f>
        <v>8.5</v>
      </c>
      <c r="L23" s="43" t="str">
        <f>IFERROR(IF(VLOOKUP(G23,Notas!B:K,9,FALSE)=".000","",VLOOKUP(G23,Notas!B:K,9,FALSE)/1000),"")</f>
        <v/>
      </c>
      <c r="M23" s="78"/>
    </row>
    <row r="24" spans="2:13" ht="14.25" customHeight="1" x14ac:dyDescent="0.3">
      <c r="B24" s="76"/>
      <c r="C24" s="114"/>
      <c r="D24" s="39" t="s">
        <v>136</v>
      </c>
      <c r="E24" s="91" t="s">
        <v>139</v>
      </c>
      <c r="F24" s="92"/>
      <c r="G24" s="40" t="str">
        <f>IF($L$9="","",IFERROR(VLOOKUP(IFERROR(VLOOKUP(D24,Notas!B:B,1,FALSE),VLOOKUP(D24,Equivalencia!A:F,5,FALSE)),Notas!B:B,1,FALSE),VLOOKUP(D24,Equivalencia!A:H,8,FALSE)))</f>
        <v>IM114</v>
      </c>
      <c r="H24" s="91" t="str">
        <f>IFERROR(IF($L$9="","",IFERROR(IFERROR(VLOOKUP(G24,Equivalencia!A:B,2,FALSE),VLOOKUP(G24,Equivalencia!E:F,2,FALSE)),VLOOKUP(G24,Equivalencia!H:I,2,FALSE))),"")</f>
        <v>Táctica Básica</v>
      </c>
      <c r="I24" s="92"/>
      <c r="J24" s="41">
        <v>2</v>
      </c>
      <c r="K24" s="42">
        <f>IFERROR(VLOOKUP(G24,Notas!B:K,8,FALSE)/1000,"")</f>
        <v>10</v>
      </c>
      <c r="L24" s="43" t="str">
        <f>IFERROR(IF(VLOOKUP(G24,Notas!B:K,9,FALSE)=".000","",VLOOKUP(G24,Notas!B:K,9,FALSE)/1000),"")</f>
        <v/>
      </c>
      <c r="M24" s="78"/>
    </row>
    <row r="25" spans="2:13" ht="14.25" customHeight="1" x14ac:dyDescent="0.3">
      <c r="B25" s="76"/>
      <c r="C25" s="114"/>
      <c r="D25" s="39" t="s">
        <v>137</v>
      </c>
      <c r="E25" s="91" t="s">
        <v>140</v>
      </c>
      <c r="F25" s="92"/>
      <c r="G25" s="40" t="str">
        <f>IF($L$9="","",IFERROR(VLOOKUP(IFERROR(VLOOKUP(D25,Notas!B:B,1,FALSE),VLOOKUP(D25,Equivalencia!A:F,5,FALSE)),Notas!B:B,1,FALSE),VLOOKUP(D25,Equivalencia!A:H,8,FALSE)))</f>
        <v>IM116</v>
      </c>
      <c r="H25" s="91" t="str">
        <f>IFERROR(IF($L$9="","",IFERROR(IFERROR(VLOOKUP(G25,Equivalencia!A:B,2,FALSE),VLOOKUP(G25,Equivalencia!E:F,2,FALSE)),VLOOKUP(G25,Equivalencia!H:I,2,FALSE))),"")</f>
        <v>Táctica Regular</v>
      </c>
      <c r="I25" s="92"/>
      <c r="J25" s="41">
        <v>2</v>
      </c>
      <c r="K25" s="42">
        <f>IFERROR(VLOOKUP(G25,Notas!B:K,8,FALSE)/1000,"")</f>
        <v>8.5500000000000007</v>
      </c>
      <c r="L25" s="43" t="str">
        <f>IFERROR(IF(VLOOKUP(G25,Notas!B:K,9,FALSE)=".000","",VLOOKUP(G25,Notas!B:K,9,FALSE)/1000),"")</f>
        <v/>
      </c>
      <c r="M25" s="78"/>
    </row>
    <row r="26" spans="2:13" ht="14.25" customHeight="1" x14ac:dyDescent="0.3">
      <c r="B26" s="76"/>
      <c r="C26" s="114"/>
      <c r="D26" s="39" t="s">
        <v>138</v>
      </c>
      <c r="E26" s="91" t="s">
        <v>141</v>
      </c>
      <c r="F26" s="92"/>
      <c r="G26" s="40" t="str">
        <f>IF($L$9="","",IFERROR(VLOOKUP(IFERROR(VLOOKUP(D26,Notas!B:B,1,FALSE),VLOOKUP(D26,Equivalencia!A:F,5,FALSE)),Notas!B:B,1,FALSE),VLOOKUP(D26,Equivalencia!A:H,8,FALSE)))</f>
        <v>IM117</v>
      </c>
      <c r="H26" s="91" t="str">
        <f>IFERROR(IF($L$9="","",IFERROR(IFERROR(VLOOKUP(G26,Equivalencia!A:B,2,FALSE),VLOOKUP(G26,Equivalencia!E:F,2,FALSE)),VLOOKUP(G26,Equivalencia!H:I,2,FALSE))),"")</f>
        <v>Táctica Irregular</v>
      </c>
      <c r="I26" s="92"/>
      <c r="J26" s="41">
        <v>2</v>
      </c>
      <c r="K26" s="42">
        <f>IFERROR(VLOOKUP(G26,Notas!B:K,8,FALSE)/1000,"")</f>
        <v>9.7100000000000009</v>
      </c>
      <c r="L26" s="43" t="str">
        <f>IFERROR(IF(VLOOKUP(G26,Notas!B:K,9,FALSE)=".000","",VLOOKUP(G26,Notas!B:K,9,FALSE)/1000),"")</f>
        <v/>
      </c>
      <c r="M26" s="78"/>
    </row>
    <row r="27" spans="2:13" ht="14.25" customHeight="1" x14ac:dyDescent="0.3">
      <c r="B27" s="76"/>
      <c r="C27" s="114"/>
      <c r="D27" s="39" t="s">
        <v>142</v>
      </c>
      <c r="E27" s="91" t="s">
        <v>143</v>
      </c>
      <c r="F27" s="92"/>
      <c r="G27" s="40" t="str">
        <f>IF($L$9="","",IFERROR(VLOOKUP(IFERROR(VLOOKUP(D27,Notas!B:B,1,FALSE),VLOOKUP(D27,Equivalencia!A:F,5,FALSE)),Notas!B:B,1,FALSE),VLOOKUP(D27,Equivalencia!A:H,8,FALSE)))</f>
        <v>IM142</v>
      </c>
      <c r="H27" s="91" t="str">
        <f>IFERROR(IF($L$9="","",IFERROR(IFERROR(VLOOKUP(G27,Equivalencia!A:B,2,FALSE),VLOOKUP(G27,Equivalencia!E:F,2,FALSE)),VLOOKUP(G27,Equivalencia!H:I,2,FALSE))),"")</f>
        <v>Operaciones Anfibias</v>
      </c>
      <c r="I27" s="92"/>
      <c r="J27" s="41">
        <v>1</v>
      </c>
      <c r="K27" s="42">
        <f>IFERROR(VLOOKUP(G27,Notas!B:K,8,FALSE)/1000,"")</f>
        <v>10</v>
      </c>
      <c r="L27" s="43" t="str">
        <f>IFERROR(IF(VLOOKUP(G27,Notas!B:K,9,FALSE)=".000","",VLOOKUP(G27,Notas!B:K,9,FALSE)/1000),"")</f>
        <v/>
      </c>
      <c r="M27" s="78"/>
    </row>
    <row r="28" spans="2:13" ht="14.25" customHeight="1" x14ac:dyDescent="0.3">
      <c r="B28" s="76"/>
      <c r="C28" s="114"/>
      <c r="D28" s="39" t="s">
        <v>49</v>
      </c>
      <c r="E28" s="91" t="s">
        <v>50</v>
      </c>
      <c r="F28" s="92"/>
      <c r="G28" s="40" t="str">
        <f>IF($L$9="","",IFERROR(VLOOKUP(IFERROR(VLOOKUP(D28,Notas!B:B,1,FALSE),VLOOKUP(D28,Equivalencia!A:F,5,FALSE)),Notas!B:B,1,FALSE),VLOOKUP(D28,Equivalencia!A:H,8,FALSE)))</f>
        <v>IM201</v>
      </c>
      <c r="H28" s="91" t="str">
        <f>IFERROR(IF($L$9="","",IFERROR(IFERROR(VLOOKUP(G28,Equivalencia!A:B,2,FALSE),VLOOKUP(G28,Equivalencia!E:F,2,FALSE)),VLOOKUP(G28,Equivalencia!H:I,2,FALSE))),"")</f>
        <v>Operaciones Fluviales</v>
      </c>
      <c r="I28" s="92"/>
      <c r="J28" s="41">
        <v>1</v>
      </c>
      <c r="K28" s="42">
        <f>IFERROR(VLOOKUP(G28,Notas!B:K,8,FALSE)/1000,"")</f>
        <v>9.77</v>
      </c>
      <c r="L28" s="43" t="str">
        <f>IFERROR(IF(VLOOKUP(G28,Notas!B:K,9,FALSE)=".000","",VLOOKUP(G28,Notas!B:K,9,FALSE)/1000),"")</f>
        <v/>
      </c>
      <c r="M28" s="78"/>
    </row>
    <row r="29" spans="2:13" ht="14.25" customHeight="1" x14ac:dyDescent="0.3">
      <c r="B29" s="76"/>
      <c r="C29" s="114"/>
      <c r="D29" s="39" t="s">
        <v>51</v>
      </c>
      <c r="E29" s="91" t="s">
        <v>52</v>
      </c>
      <c r="F29" s="92"/>
      <c r="G29" s="40" t="str">
        <f>IF($L$9="","",IFERROR(VLOOKUP(IFERROR(VLOOKUP(D29,Notas!B:B,1,FALSE),VLOOKUP(D29,Equivalencia!A:F,5,FALSE)),Notas!B:B,1,FALSE),VLOOKUP(D29,Equivalencia!A:H,8,FALSE)))</f>
        <v>IN207</v>
      </c>
      <c r="H29" s="91" t="str">
        <f>IFERROR(IF($L$9="","",IFERROR(IFERROR(VLOOKUP(G29,Equivalencia!A:B,2,FALSE),VLOOKUP(G29,Equivalencia!E:F,2,FALSE)),VLOOKUP(G29,Equivalencia!H:I,2,FALSE))),"")</f>
        <v>Control de Averías y Prácticas</v>
      </c>
      <c r="I29" s="92"/>
      <c r="J29" s="41">
        <v>2</v>
      </c>
      <c r="K29" s="42">
        <f>IFERROR(VLOOKUP(G29,Notas!B:K,8,FALSE)/1000,"")</f>
        <v>9.75</v>
      </c>
      <c r="L29" s="43" t="str">
        <f>IFERROR(IF(VLOOKUP(G29,Notas!B:K,9,FALSE)=".000","",VLOOKUP(G29,Notas!B:K,9,FALSE)/1000),"")</f>
        <v/>
      </c>
      <c r="M29" s="78"/>
    </row>
    <row r="30" spans="2:13" ht="14.25" customHeight="1" x14ac:dyDescent="0.3">
      <c r="B30" s="76"/>
      <c r="C30" s="114"/>
      <c r="D30" s="39" t="s">
        <v>33</v>
      </c>
      <c r="E30" s="91" t="s">
        <v>34</v>
      </c>
      <c r="F30" s="92"/>
      <c r="G30" s="40" t="str">
        <f>IF($L$9="","",IFERROR(VLOOKUP(IFERROR(VLOOKUP(D30,Notas!B:B,1,FALSE),VLOOKUP(D30,Equivalencia!A:F,5,FALSE)),Notas!B:B,1,FALSE),VLOOKUP(D30,Equivalencia!A:H,8,FALSE)))</f>
        <v>CN335</v>
      </c>
      <c r="H30" s="91" t="str">
        <f>IFERROR(IF($L$9="","",IFERROR(IFERROR(VLOOKUP(G30,Equivalencia!A:B,2,FALSE),VLOOKUP(G30,Equivalencia!E:F,2,FALSE)),VLOOKUP(G30,Equivalencia!H:I,2,FALSE))),"")</f>
        <v>Navegación Astronómica</v>
      </c>
      <c r="I30" s="92"/>
      <c r="J30" s="41">
        <v>3</v>
      </c>
      <c r="K30" s="42">
        <f>IFERROR(VLOOKUP(G30,Notas!B:K,8,FALSE)/1000,"")</f>
        <v>9.5500000000000007</v>
      </c>
      <c r="L30" s="43" t="str">
        <f>IFERROR(IF(VLOOKUP(G30,Notas!B:K,9,FALSE)=".000","",VLOOKUP(G30,Notas!B:K,9,FALSE)/1000),"")</f>
        <v/>
      </c>
      <c r="M30" s="78"/>
    </row>
    <row r="31" spans="2:13" ht="14.25" customHeight="1" x14ac:dyDescent="0.3">
      <c r="B31" s="76"/>
      <c r="C31" s="114"/>
      <c r="D31" s="39" t="s">
        <v>37</v>
      </c>
      <c r="E31" s="91" t="s">
        <v>38</v>
      </c>
      <c r="F31" s="92"/>
      <c r="G31" s="40" t="str">
        <f>IF($L$9="","",IFERROR(VLOOKUP(IFERROR(VLOOKUP(D31,Notas!B:B,1,FALSE),VLOOKUP(D31,Equivalencia!A:F,5,FALSE)),Notas!B:B,1,FALSE),VLOOKUP(D31,Equivalencia!A:H,8,FALSE)))</f>
        <v>CN337</v>
      </c>
      <c r="H31" s="91" t="str">
        <f>IFERROR(IF($L$9="","",IFERROR(IFERROR(VLOOKUP(G31,Equivalencia!A:B,2,FALSE),VLOOKUP(G31,Equivalencia!E:F,2,FALSE)),VLOOKUP(G31,Equivalencia!H:I,2,FALSE))),"")</f>
        <v>Navegación Electrónica</v>
      </c>
      <c r="I31" s="92"/>
      <c r="J31" s="41">
        <v>3</v>
      </c>
      <c r="K31" s="42">
        <f>IFERROR(VLOOKUP(G31,Notas!B:K,8,FALSE)/1000,"")</f>
        <v>7.9</v>
      </c>
      <c r="L31" s="43" t="str">
        <f>IFERROR(IF(VLOOKUP(G31,Notas!B:K,9,FALSE)=".000","",VLOOKUP(G31,Notas!B:K,9,FALSE)/1000),"")</f>
        <v/>
      </c>
      <c r="M31" s="78"/>
    </row>
    <row r="32" spans="2:13" ht="14.25" customHeight="1" x14ac:dyDescent="0.3">
      <c r="B32" s="76"/>
      <c r="C32" s="114"/>
      <c r="D32" s="39" t="s">
        <v>47</v>
      </c>
      <c r="E32" s="91" t="s">
        <v>48</v>
      </c>
      <c r="F32" s="92"/>
      <c r="G32" s="40" t="str">
        <f>IF($L$9="","",IFERROR(VLOOKUP(IFERROR(VLOOKUP(D32,Notas!B:B,1,FALSE),VLOOKUP(D32,Equivalencia!A:F,5,FALSE)),Notas!B:B,1,FALSE),VLOOKUP(D32,Equivalencia!A:H,8,FALSE)))</f>
        <v>IM213</v>
      </c>
      <c r="H32" s="91" t="str">
        <f>IFERROR(IF($L$9="","",IFERROR(IFERROR(VLOOKUP(G32,Equivalencia!A:B,2,FALSE),VLOOKUP(G32,Equivalencia!E:F,2,FALSE)),VLOOKUP(G32,Equivalencia!H:I,2,FALSE))),"")</f>
        <v>Inteligencia Básica, Contrainteligencia y Seguridad Militar</v>
      </c>
      <c r="I32" s="92"/>
      <c r="J32" s="41">
        <v>2</v>
      </c>
      <c r="K32" s="42">
        <f>IFERROR(VLOOKUP(G32,Notas!B:K,8,FALSE)/1000,"")</f>
        <v>9.8800000000000008</v>
      </c>
      <c r="L32" s="43" t="str">
        <f>IFERROR(IF(VLOOKUP(G32,Notas!B:K,9,FALSE)=".000","",VLOOKUP(G32,Notas!B:K,9,FALSE)/1000),"")</f>
        <v/>
      </c>
      <c r="M32" s="78"/>
    </row>
    <row r="33" spans="2:13" ht="14.25" customHeight="1" x14ac:dyDescent="0.3">
      <c r="B33" s="76"/>
      <c r="C33" s="114"/>
      <c r="D33" s="39" t="s">
        <v>145</v>
      </c>
      <c r="E33" s="91" t="s">
        <v>144</v>
      </c>
      <c r="F33" s="92"/>
      <c r="G33" s="40" t="str">
        <f>IF($L$9="","",IFERROR(VLOOKUP(IFERROR(VLOOKUP(D33,Notas!B:B,1,FALSE),VLOOKUP(D33,Equivalencia!A:F,5,FALSE)),Notas!B:B,1,FALSE),VLOOKUP(D33,Equivalencia!A:H,8,FALSE)))</f>
        <v>IM231</v>
      </c>
      <c r="H33" s="91" t="str">
        <f>IFERROR(IF($L$9="","",IFERROR(IFERROR(VLOOKUP(G33,Equivalencia!A:B,2,FALSE),VLOOKUP(G33,Equivalencia!E:F,2,FALSE)),VLOOKUP(G33,Equivalencia!H:I,2,FALSE))),"")</f>
        <v>Navegación Terrestre</v>
      </c>
      <c r="I33" s="92"/>
      <c r="J33" s="41">
        <v>1</v>
      </c>
      <c r="K33" s="42">
        <f>IFERROR(VLOOKUP(G33,Notas!B:K,8,FALSE)/1000,"")</f>
        <v>8.2390000000000008</v>
      </c>
      <c r="L33" s="43" t="str">
        <f>IFERROR(IF(VLOOKUP(G33,Notas!B:K,9,FALSE)=".000","",VLOOKUP(G33,Notas!B:K,9,FALSE)/1000),"")</f>
        <v/>
      </c>
      <c r="M33" s="78"/>
    </row>
    <row r="34" spans="2:13" ht="14.25" customHeight="1" x14ac:dyDescent="0.3">
      <c r="B34" s="76"/>
      <c r="C34" s="114"/>
      <c r="D34" s="39" t="s">
        <v>146</v>
      </c>
      <c r="E34" s="91" t="s">
        <v>147</v>
      </c>
      <c r="F34" s="92"/>
      <c r="G34" s="40" t="str">
        <f>IF($L$9="","",IFERROR(VLOOKUP(IFERROR(VLOOKUP(D34,Notas!B:B,1,FALSE),VLOOKUP(D34,Equivalencia!A:F,5,FALSE)),Notas!B:B,1,FALSE),VLOOKUP(D34,Equivalencia!A:H,8,FALSE)))</f>
        <v>IM110</v>
      </c>
      <c r="H34" s="91" t="str">
        <f>IFERROR(IF($L$9="","",IFERROR(IFERROR(VLOOKUP(G34,Equivalencia!A:B,2,FALSE),VLOOKUP(G34,Equivalencia!E:F,2,FALSE)),VLOOKUP(G34,Equivalencia!H:I,2,FALSE))),"")</f>
        <v>Pelotón de fusileros</v>
      </c>
      <c r="I34" s="92"/>
      <c r="J34" s="41">
        <v>2</v>
      </c>
      <c r="K34" s="42">
        <f>IFERROR(VLOOKUP(G34,Notas!B:K,8,FALSE)/1000,"")</f>
        <v>10</v>
      </c>
      <c r="L34" s="43" t="str">
        <f>IFERROR(IF(VLOOKUP(G34,Notas!B:K,9,FALSE)=".000","",VLOOKUP(G34,Notas!B:K,9,FALSE)/1000),"")</f>
        <v/>
      </c>
      <c r="M34" s="78"/>
    </row>
    <row r="35" spans="2:13" ht="14.25" customHeight="1" x14ac:dyDescent="0.3">
      <c r="B35" s="76"/>
      <c r="C35" s="114"/>
      <c r="D35" s="39" t="s">
        <v>148</v>
      </c>
      <c r="E35" s="91" t="s">
        <v>149</v>
      </c>
      <c r="F35" s="92"/>
      <c r="G35" s="40" t="str">
        <f>IF($L$9="","",IFERROR(VLOOKUP(IFERROR(VLOOKUP(D35,Notas!B:B,1,FALSE),VLOOKUP(D35,Equivalencia!A:F,5,FALSE)),Notas!B:B,1,FALSE),VLOOKUP(D35,Equivalencia!A:H,8,FALSE)))</f>
        <v>IM254</v>
      </c>
      <c r="H35" s="91" t="str">
        <f>IFERROR(IF($L$9="","",IFERROR(IFERROR(VLOOKUP(G35,Equivalencia!A:B,2,FALSE),VLOOKUP(G35,Equivalencia!E:F,2,FALSE)),VLOOKUP(G35,Equivalencia!H:I,2,FALSE))),"")</f>
        <v>Plana Mayor</v>
      </c>
      <c r="I35" s="92"/>
      <c r="J35" s="41">
        <v>4</v>
      </c>
      <c r="K35" s="42">
        <f>IFERROR(VLOOKUP(G35,Notas!B:K,8,FALSE)/1000,"")</f>
        <v>9.5399999999999991</v>
      </c>
      <c r="L35" s="43" t="str">
        <f>IFERROR(IF(VLOOKUP(G35,Notas!B:K,9,FALSE)=".000","",VLOOKUP(G35,Notas!B:K,9,FALSE)/1000),"")</f>
        <v/>
      </c>
      <c r="M35" s="78"/>
    </row>
    <row r="36" spans="2:13" ht="14.25" customHeight="1" x14ac:dyDescent="0.3">
      <c r="B36" s="76"/>
      <c r="C36" s="114"/>
      <c r="D36" s="39" t="s">
        <v>151</v>
      </c>
      <c r="E36" s="91" t="s">
        <v>159</v>
      </c>
      <c r="F36" s="92"/>
      <c r="G36" s="40" t="str">
        <f>IF($L$9="","",IFERROR(VLOOKUP(IFERROR(VLOOKUP(D36,Notas!B:B,1,FALSE),VLOOKUP(D36,Equivalencia!A:F,5,FALSE)),Notas!B:B,1,FALSE),VLOOKUP(D36,Equivalencia!A:H,8,FALSE)))</f>
        <v>IM302</v>
      </c>
      <c r="H36" s="91" t="str">
        <f>IFERROR(IF($L$9="","",IFERROR(IFERROR(VLOOKUP(G36,Equivalencia!A:B,2,FALSE),VLOOKUP(G36,Equivalencia!E:F,2,FALSE)),VLOOKUP(G36,Equivalencia!H:I,2,FALSE))),"")</f>
        <v>Ideologías Básicas</v>
      </c>
      <c r="I36" s="92"/>
      <c r="J36" s="41">
        <v>1</v>
      </c>
      <c r="K36" s="42">
        <f>IFERROR(VLOOKUP(G36,Notas!B:K,8,FALSE)/1000,"")</f>
        <v>9.32</v>
      </c>
      <c r="L36" s="43" t="str">
        <f>IFERROR(IF(VLOOKUP(G36,Notas!B:K,9,FALSE)=".000","",VLOOKUP(G36,Notas!B:K,9,FALSE)/1000),"")</f>
        <v/>
      </c>
      <c r="M36" s="78"/>
    </row>
    <row r="37" spans="2:13" ht="14.25" customHeight="1" x14ac:dyDescent="0.3">
      <c r="B37" s="76"/>
      <c r="C37" s="114"/>
      <c r="D37" s="39" t="s">
        <v>152</v>
      </c>
      <c r="E37" s="91" t="s">
        <v>160</v>
      </c>
      <c r="F37" s="92"/>
      <c r="G37" s="40" t="str">
        <f>IF($L$9="","",IFERROR(VLOOKUP(IFERROR(VLOOKUP(D37,Notas!B:B,1,FALSE),VLOOKUP(D37,Equivalencia!A:F,5,FALSE)),Notas!B:B,1,FALSE),VLOOKUP(D37,Equivalencia!A:H,8,FALSE)))</f>
        <v>IM354</v>
      </c>
      <c r="H37" s="91" t="str">
        <f>IFERROR(IF($L$9="","",IFERROR(IFERROR(VLOOKUP(G37,Equivalencia!A:B,2,FALSE),VLOOKUP(G37,Equivalencia!E:F,2,FALSE)),VLOOKUP(G37,Equivalencia!H:I,2,FALSE))),"")</f>
        <v>Lecciones Aprendidas</v>
      </c>
      <c r="I37" s="92"/>
      <c r="J37" s="41">
        <v>1</v>
      </c>
      <c r="K37" s="42">
        <f>IFERROR(VLOOKUP(G37,Notas!B:K,8,FALSE)/1000,"")</f>
        <v>10</v>
      </c>
      <c r="L37" s="43" t="str">
        <f>IFERROR(IF(VLOOKUP(G37,Notas!B:K,9,FALSE)=".000","",VLOOKUP(G37,Notas!B:K,9,FALSE)/1000),"")</f>
        <v/>
      </c>
      <c r="M37" s="78"/>
    </row>
    <row r="38" spans="2:13" ht="14.25" customHeight="1" x14ac:dyDescent="0.3">
      <c r="B38" s="76"/>
      <c r="C38" s="114"/>
      <c r="D38" s="39" t="s">
        <v>153</v>
      </c>
      <c r="E38" s="91" t="s">
        <v>161</v>
      </c>
      <c r="F38" s="92"/>
      <c r="G38" s="40" t="str">
        <f>IF($L$9="","",IFERROR(VLOOKUP(IFERROR(VLOOKUP(D38,Notas!B:B,1,FALSE),VLOOKUP(D38,Equivalencia!A:F,5,FALSE)),Notas!B:B,1,FALSE),VLOOKUP(D38,Equivalencia!A:H,8,FALSE)))</f>
        <v>IM120</v>
      </c>
      <c r="H38" s="91" t="str">
        <f>IFERROR(IF($L$9="","",IFERROR(IFERROR(VLOOKUP(G38,Equivalencia!A:B,2,FALSE),VLOOKUP(G38,Equivalencia!E:F,2,FALSE)),VLOOKUP(G38,Equivalencia!H:I,2,FALSE))),"")</f>
        <v>Administración del riesgo</v>
      </c>
      <c r="I38" s="92"/>
      <c r="J38" s="41">
        <v>2</v>
      </c>
      <c r="K38" s="42">
        <f>IFERROR(VLOOKUP(G38,Notas!B:K,8,FALSE)/1000,"")</f>
        <v>9.39</v>
      </c>
      <c r="L38" s="43" t="str">
        <f>IFERROR(IF(VLOOKUP(G38,Notas!B:K,9,FALSE)=".000","",VLOOKUP(G38,Notas!B:K,9,FALSE)/1000),"")</f>
        <v/>
      </c>
      <c r="M38" s="78"/>
    </row>
    <row r="39" spans="2:13" ht="14.25" customHeight="1" x14ac:dyDescent="0.3">
      <c r="B39" s="76"/>
      <c r="C39" s="114"/>
      <c r="D39" s="39" t="s">
        <v>154</v>
      </c>
      <c r="E39" s="91" t="s">
        <v>162</v>
      </c>
      <c r="F39" s="92"/>
      <c r="G39" s="40" t="str">
        <f>IF($L$9="","",IFERROR(VLOOKUP(IFERROR(VLOOKUP(D39,Notas!B:B,1,FALSE),VLOOKUP(D39,Equivalencia!A:F,5,FALSE)),Notas!B:B,1,FALSE),VLOOKUP(D39,Equivalencia!A:H,8,FALSE)))</f>
        <v>IM149</v>
      </c>
      <c r="H39" s="91" t="str">
        <f>IFERROR(IF($L$9="","",IFERROR(IFERROR(VLOOKUP(G39,Equivalencia!A:B,2,FALSE),VLOOKUP(G39,Equivalencia!E:F,2,FALSE)),VLOOKUP(G39,Equivalencia!H:I,2,FALSE))),"")</f>
        <v>Comando Unidades Fluviales</v>
      </c>
      <c r="I39" s="92"/>
      <c r="J39" s="41">
        <v>4</v>
      </c>
      <c r="K39" s="42">
        <f>IFERROR(VLOOKUP(G39,Notas!B:K,8,FALSE)/1000,"")</f>
        <v>9.77</v>
      </c>
      <c r="L39" s="43" t="str">
        <f>IFERROR(IF(VLOOKUP(G39,Notas!B:K,9,FALSE)=".000","",VLOOKUP(G39,Notas!B:K,9,FALSE)/1000),"")</f>
        <v/>
      </c>
      <c r="M39" s="78"/>
    </row>
    <row r="40" spans="2:13" ht="14.25" customHeight="1" x14ac:dyDescent="0.3">
      <c r="B40" s="76"/>
      <c r="C40" s="114"/>
      <c r="D40" s="39" t="s">
        <v>280</v>
      </c>
      <c r="E40" s="91" t="s">
        <v>163</v>
      </c>
      <c r="F40" s="92"/>
      <c r="G40" s="40" t="str">
        <f>IF($L$9="","",IFERROR(VLOOKUP(IFERROR(VLOOKUP(D40,Notas!B:B,1,FALSE),VLOOKUP(D40,Equivalencia!A:F,5,FALSE)),Notas!B:B,1,FALSE),VLOOKUP(D40,Equivalencia!A:H,8,FALSE)))</f>
        <v>IM221</v>
      </c>
      <c r="H40" s="91" t="str">
        <f>IFERROR(IF($L$9="","",IFERROR(IFERROR(VLOOKUP(G40,Equivalencia!A:B,2,FALSE),VLOOKUP(G40,Equivalencia!E:F,2,FALSE)),VLOOKUP(G40,Equivalencia!H:I,2,FALSE))),"")</f>
        <v>Modulo De Entrenamiento Basico</v>
      </c>
      <c r="I40" s="92"/>
      <c r="J40" s="41">
        <v>4</v>
      </c>
      <c r="K40" s="42">
        <f>IFERROR(VLOOKUP(G40,Notas!B:K,8,FALSE)/1000,"")</f>
        <v>8.2390000000000008</v>
      </c>
      <c r="L40" s="43" t="str">
        <f>IFERROR(IF(VLOOKUP(G40,Notas!B:K,9,FALSE)=".000","",VLOOKUP(G40,Notas!B:K,9,FALSE)/1000),"")</f>
        <v/>
      </c>
      <c r="M40" s="78"/>
    </row>
    <row r="41" spans="2:13" ht="14.25" customHeight="1" x14ac:dyDescent="0.3">
      <c r="B41" s="76"/>
      <c r="C41" s="114"/>
      <c r="D41" s="39" t="s">
        <v>156</v>
      </c>
      <c r="E41" s="91" t="s">
        <v>164</v>
      </c>
      <c r="F41" s="92"/>
      <c r="G41" s="40" t="str">
        <f>IF($L$9="","",IFERROR(VLOOKUP(IFERROR(VLOOKUP(D41,Notas!B:B,1,FALSE),VLOOKUP(D41,Equivalencia!A:F,5,FALSE)),Notas!B:B,1,FALSE),VLOOKUP(D41,Equivalencia!A:H,8,FALSE)))</f>
        <v>IM255</v>
      </c>
      <c r="H41" s="91" t="str">
        <f>IFERROR(IF($L$9="","",IFERROR(IFERROR(VLOOKUP(G41,Equivalencia!A:B,2,FALSE),VLOOKUP(G41,Equivalencia!E:F,2,FALSE)),VLOOKUP(G41,Equivalencia!H:I,2,FALSE))),"")</f>
        <v>Módulo Entrenamiento Avanzado</v>
      </c>
      <c r="I41" s="92"/>
      <c r="J41" s="41">
        <v>4</v>
      </c>
      <c r="K41" s="42">
        <f>IFERROR(VLOOKUP(G41,Notas!B:K,8,FALSE)/1000,"")</f>
        <v>9.56</v>
      </c>
      <c r="L41" s="43" t="str">
        <f>IFERROR(IF(VLOOKUP(G41,Notas!B:K,9,FALSE)=".000","",VLOOKUP(G41,Notas!B:K,9,FALSE)/1000),"")</f>
        <v/>
      </c>
      <c r="M41" s="78"/>
    </row>
    <row r="42" spans="2:13" ht="14.25" customHeight="1" x14ac:dyDescent="0.3">
      <c r="B42" s="76"/>
      <c r="C42" s="114"/>
      <c r="D42" s="39" t="s">
        <v>157</v>
      </c>
      <c r="E42" s="91" t="s">
        <v>165</v>
      </c>
      <c r="F42" s="92"/>
      <c r="G42" s="40" t="str">
        <f>IF($L$9="","",IFERROR(VLOOKUP(IFERROR(VLOOKUP(D42,Notas!B:B,1,FALSE),VLOOKUP(D42,Equivalencia!A:F,5,FALSE)),Notas!B:B,1,FALSE),VLOOKUP(D42,Equivalencia!A:H,8,FALSE)))</f>
        <v>IM229</v>
      </c>
      <c r="H42" s="91" t="str">
        <f>IFERROR(IF($L$9="","",IFERROR(IFERROR(VLOOKUP(G42,Equivalencia!A:B,2,FALSE),VLOOKUP(G42,Equivalencia!E:F,2,FALSE)),VLOOKUP(G42,Equivalencia!H:I,2,FALSE))),"")</f>
        <v>Seguridad y Defensa de Bases Fijas</v>
      </c>
      <c r="I42" s="92"/>
      <c r="J42" s="41">
        <v>1</v>
      </c>
      <c r="K42" s="42">
        <f>IFERROR(VLOOKUP(G42,Notas!B:K,8,FALSE)/1000,"")</f>
        <v>8.2390000000000008</v>
      </c>
      <c r="L42" s="43" t="str">
        <f>IFERROR(IF(VLOOKUP(G42,Notas!B:K,9,FALSE)=".000","",VLOOKUP(G42,Notas!B:K,9,FALSE)/1000),"")</f>
        <v/>
      </c>
      <c r="M42" s="78"/>
    </row>
    <row r="43" spans="2:13" ht="14.25" customHeight="1" x14ac:dyDescent="0.3">
      <c r="B43" s="76"/>
      <c r="C43" s="114"/>
      <c r="D43" s="39" t="s">
        <v>158</v>
      </c>
      <c r="E43" s="91" t="s">
        <v>166</v>
      </c>
      <c r="F43" s="92"/>
      <c r="G43" s="40" t="str">
        <f>IF($L$9="","",IFERROR(VLOOKUP(IFERROR(VLOOKUP(D43,Notas!B:B,1,FALSE),VLOOKUP(D43,Equivalencia!A:F,5,FALSE)),Notas!B:B,1,FALSE),VLOOKUP(D43,Equivalencia!A:H,8,FALSE)))</f>
        <v>CS221</v>
      </c>
      <c r="H43" s="91" t="str">
        <f>IFERROR(IF($L$9="","",IFERROR(IFERROR(VLOOKUP(G43,Equivalencia!A:B,2,FALSE),VLOOKUP(G43,Equivalencia!E:F,2,FALSE)),VLOOKUP(G43,Equivalencia!H:I,2,FALSE))),"")</f>
        <v>Historia Militar</v>
      </c>
      <c r="I43" s="92"/>
      <c r="J43" s="41">
        <v>2</v>
      </c>
      <c r="K43" s="42">
        <f>IFERROR(VLOOKUP(G43,Notas!B:K,8,FALSE)/1000,"")</f>
        <v>8.94</v>
      </c>
      <c r="L43" s="43" t="str">
        <f>IFERROR(IF(VLOOKUP(G43,Notas!B:K,9,FALSE)=".000","",VLOOKUP(G43,Notas!B:K,9,FALSE)/1000),"")</f>
        <v/>
      </c>
      <c r="M43" s="78"/>
    </row>
    <row r="44" spans="2:13" ht="14.25" customHeight="1" x14ac:dyDescent="0.3">
      <c r="B44" s="76"/>
      <c r="C44" s="115"/>
      <c r="D44" s="44" t="s">
        <v>53</v>
      </c>
      <c r="E44" s="93" t="s">
        <v>331</v>
      </c>
      <c r="F44" s="94"/>
      <c r="G44" s="45" t="str">
        <f>IF($L$9="","",IFERROR(VLOOKUP(IFERROR(VLOOKUP(D44,Notas!B:B,1,FALSE),VLOOKUP(D44,Equivalencia!A:F,5,FALSE)),Notas!B:B,1,FALSE),VLOOKUP(D44,Equivalencia!A:H,8,FALSE)))</f>
        <v>IN202</v>
      </c>
      <c r="H44" s="93" t="str">
        <f>IFERROR(IF($L$9="","",IFERROR(IFERROR(VLOOKUP(G44,Equivalencia!A:B,2,FALSE),VLOOKUP(G44,Equivalencia!E:F,2,FALSE)),VLOOKUP(G44,Equivalencia!H:I,2,FALSE))),"")</f>
        <v>Maquinaría Naval</v>
      </c>
      <c r="I44" s="94"/>
      <c r="J44" s="46">
        <v>2</v>
      </c>
      <c r="K44" s="47">
        <f>IFERROR(VLOOKUP(G44,Notas!B:K,8,FALSE)/1000,"")</f>
        <v>10</v>
      </c>
      <c r="L44" s="48" t="str">
        <f>IFERROR(IF(VLOOKUP(G44,Notas!B:K,9,FALSE)=".000","",VLOOKUP(G44,Notas!B:K,9,FALSE)/1000),"")</f>
        <v/>
      </c>
      <c r="M44" s="78"/>
    </row>
    <row r="45" spans="2:13" ht="14.25" customHeight="1" x14ac:dyDescent="0.3">
      <c r="B45" s="76"/>
      <c r="C45" s="116" t="s">
        <v>54</v>
      </c>
      <c r="D45" s="34" t="s">
        <v>55</v>
      </c>
      <c r="E45" s="95" t="s">
        <v>56</v>
      </c>
      <c r="F45" s="96"/>
      <c r="G45" s="35" t="str">
        <f>IF($L$9="","",IFERROR(VLOOKUP(IFERROR(VLOOKUP(D45,Notas!B:B,1,FALSE),VLOOKUP(D45,Equivalencia!A:F,5,FALSE)),Notas!B:B,1,FALSE),VLOOKUP(D45,Equivalencia!A:H,8,FALSE)))</f>
        <v>AM701</v>
      </c>
      <c r="H45" s="95" t="str">
        <f>IFERROR(IF($L$9="","",IFERROR(IFERROR(VLOOKUP(G45,Equivalencia!A:B,2,FALSE),VLOOKUP(G45,Equivalencia!E:F,2,FALSE)),VLOOKUP(G45,Equivalencia!H:I,2,FALSE))),"")</f>
        <v>Logística General</v>
      </c>
      <c r="I45" s="96"/>
      <c r="J45" s="36">
        <v>2</v>
      </c>
      <c r="K45" s="37">
        <f>IFERROR(VLOOKUP(G45,Notas!B:K,8,FALSE)/1000,"")</f>
        <v>8.91</v>
      </c>
      <c r="L45" s="38" t="str">
        <f>IFERROR(IF(VLOOKUP(G45,Notas!B:K,9,FALSE)=".000","",VLOOKUP(G45,Notas!B:K,9,FALSE)/1000),"")</f>
        <v/>
      </c>
      <c r="M45" s="78"/>
    </row>
    <row r="46" spans="2:13" ht="14.25" customHeight="1" x14ac:dyDescent="0.3">
      <c r="B46" s="76"/>
      <c r="C46" s="114"/>
      <c r="D46" s="39" t="s">
        <v>58</v>
      </c>
      <c r="E46" s="91" t="s">
        <v>59</v>
      </c>
      <c r="F46" s="92"/>
      <c r="G46" s="40" t="str">
        <f>IF($L$9="","",IFERROR(VLOOKUP(IFERROR(VLOOKUP(D46,Notas!B:B,1,FALSE),VLOOKUP(D46,Equivalencia!A:F,5,FALSE)),Notas!B:B,1,FALSE),VLOOKUP(D46,Equivalencia!A:H,8,FALSE)))</f>
        <v>AM401</v>
      </c>
      <c r="H46" s="91" t="str">
        <f>IFERROR(IF($L$9="","",IFERROR(IFERROR(VLOOKUP(G46,Equivalencia!A:B,2,FALSE),VLOOKUP(G46,Equivalencia!E:F,2,FALSE)),VLOOKUP(G46,Equivalencia!H:I,2,FALSE))),"")</f>
        <v>Principios de Contabilidad</v>
      </c>
      <c r="I46" s="92"/>
      <c r="J46" s="41">
        <v>2</v>
      </c>
      <c r="K46" s="42">
        <f>IFERROR(VLOOKUP(G46,Notas!B:K,8,FALSE)/1000,"")</f>
        <v>7.83</v>
      </c>
      <c r="L46" s="43" t="str">
        <f>IFERROR(IF(VLOOKUP(G46,Notas!B:K,9,FALSE)=".000","",VLOOKUP(G46,Notas!B:K,9,FALSE)/1000),"")</f>
        <v/>
      </c>
      <c r="M46" s="78"/>
    </row>
    <row r="47" spans="2:13" ht="14.25" customHeight="1" x14ac:dyDescent="0.3">
      <c r="B47" s="76"/>
      <c r="C47" s="114"/>
      <c r="D47" s="39" t="s">
        <v>124</v>
      </c>
      <c r="E47" s="91" t="s">
        <v>69</v>
      </c>
      <c r="F47" s="92"/>
      <c r="G47" s="40" t="str">
        <f>IF($L$9="","",IFERROR(VLOOKUP(IFERROR(VLOOKUP(D47,Notas!B:B,1,FALSE),VLOOKUP(D47,Equivalencia!A:F,5,FALSE)),Notas!B:B,1,FALSE),VLOOKUP(D47,Equivalencia!A:H,8,FALSE)))</f>
        <v>OF102</v>
      </c>
      <c r="H47" s="91" t="str">
        <f>IFERROR(IF($L$9="","",IFERROR(IFERROR(VLOOKUP(G47,Equivalencia!A:B,2,FALSE),VLOOKUP(G47,Equivalencia!E:F,2,FALSE)),VLOOKUP(G47,Equivalencia!H:I,2,FALSE))),"")</f>
        <v>Oceanografía General</v>
      </c>
      <c r="I47" s="92"/>
      <c r="J47" s="41">
        <v>1</v>
      </c>
      <c r="K47" s="42">
        <f>IFERROR(VLOOKUP(G47,Notas!B:K,8,FALSE)/1000,"")</f>
        <v>9.6479999999999997</v>
      </c>
      <c r="L47" s="43" t="str">
        <f>IFERROR(IF(VLOOKUP(G47,Notas!B:K,9,FALSE)=".000","",VLOOKUP(G47,Notas!B:K,9,FALSE)/1000),"")</f>
        <v/>
      </c>
      <c r="M47" s="78"/>
    </row>
    <row r="48" spans="2:13" ht="14.25" customHeight="1" x14ac:dyDescent="0.3">
      <c r="B48" s="76"/>
      <c r="C48" s="114"/>
      <c r="D48" s="39" t="s">
        <v>123</v>
      </c>
      <c r="E48" s="91" t="s">
        <v>68</v>
      </c>
      <c r="F48" s="92"/>
      <c r="G48" s="40" t="str">
        <f>IF($L$9="","",IFERROR(VLOOKUP(IFERROR(VLOOKUP(D48,Notas!B:B,1,FALSE),VLOOKUP(D48,Equivalencia!A:F,5,FALSE)),Notas!B:B,1,FALSE),VLOOKUP(D48,Equivalencia!A:H,8,FALSE)))</f>
        <v>OF101</v>
      </c>
      <c r="H48" s="91" t="str">
        <f>IFERROR(IF($L$9="","",IFERROR(IFERROR(VLOOKUP(G48,Equivalencia!A:B,2,FALSE),VLOOKUP(G48,Equivalencia!E:F,2,FALSE)),VLOOKUP(G48,Equivalencia!H:I,2,FALSE))),"")</f>
        <v>Meteorología General</v>
      </c>
      <c r="I48" s="92"/>
      <c r="J48" s="41">
        <v>1</v>
      </c>
      <c r="K48" s="42">
        <f>IFERROR(VLOOKUP(G48,Notas!B:K,8,FALSE)/1000,"")</f>
        <v>8.2330000000000005</v>
      </c>
      <c r="L48" s="43" t="str">
        <f>IFERROR(IF(VLOOKUP(G48,Notas!B:K,9,FALSE)=".000","",VLOOKUP(G48,Notas!B:K,9,FALSE)/1000),"")</f>
        <v/>
      </c>
      <c r="M48" s="78"/>
    </row>
    <row r="49" spans="2:13" ht="14.25" customHeight="1" x14ac:dyDescent="0.3">
      <c r="B49" s="76"/>
      <c r="C49" s="114"/>
      <c r="D49" s="39" t="s">
        <v>169</v>
      </c>
      <c r="E49" s="91" t="s">
        <v>170</v>
      </c>
      <c r="F49" s="92"/>
      <c r="G49" s="40" t="str">
        <f>IF($L$9="","",IFERROR(VLOOKUP(IFERROR(VLOOKUP(D49,Notas!B:B,1,FALSE),VLOOKUP(D49,Equivalencia!A:F,5,FALSE)),Notas!B:B,1,FALSE),VLOOKUP(D49,Equivalencia!A:H,8,FALSE)))</f>
        <v>OF322</v>
      </c>
      <c r="H49" s="91" t="str">
        <f>IFERROR(IF($L$9="","",IFERROR(IFERROR(VLOOKUP(G49,Equivalencia!A:B,2,FALSE),VLOOKUP(G49,Equivalencia!E:F,2,FALSE)),VLOOKUP(G49,Equivalencia!H:I,2,FALSE))),"")</f>
        <v>Sistema de Información Geográfica</v>
      </c>
      <c r="I49" s="92"/>
      <c r="J49" s="41">
        <v>2</v>
      </c>
      <c r="K49" s="42">
        <f>IFERROR(VLOOKUP(G49,Notas!B:K,8,FALSE)/1000,"")</f>
        <v>8.5</v>
      </c>
      <c r="L49" s="43" t="str">
        <f>IFERROR(IF(VLOOKUP(G49,Notas!B:K,9,FALSE)=".000","",VLOOKUP(G49,Notas!B:K,9,FALSE)/1000),"")</f>
        <v/>
      </c>
      <c r="M49" s="78"/>
    </row>
    <row r="50" spans="2:13" ht="14.25" customHeight="1" x14ac:dyDescent="0.3">
      <c r="B50" s="76"/>
      <c r="C50" s="114"/>
      <c r="D50" s="39" t="s">
        <v>64</v>
      </c>
      <c r="E50" s="91" t="s">
        <v>65</v>
      </c>
      <c r="F50" s="92"/>
      <c r="G50" s="40" t="str">
        <f>IF($L$9="","",IFERROR(VLOOKUP(IFERROR(VLOOKUP(D50,Notas!B:B,1,FALSE),VLOOKUP(D50,Equivalencia!A:F,5,FALSE)),Notas!B:B,1,FALSE),VLOOKUP(D50,Equivalencia!A:H,8,FALSE)))</f>
        <v>CS118</v>
      </c>
      <c r="H50" s="91" t="str">
        <f>IFERROR(IF($L$9="","",IFERROR(IFERROR(VLOOKUP(G50,Equivalencia!A:B,2,FALSE),VLOOKUP(G50,Equivalencia!E:F,2,FALSE)),VLOOKUP(G50,Equivalencia!H:I,2,FALSE))),"")</f>
        <v>Derecho Penal Militar</v>
      </c>
      <c r="I50" s="92"/>
      <c r="J50" s="41">
        <v>1</v>
      </c>
      <c r="K50" s="42">
        <f>IFERROR(VLOOKUP(G50,Notas!B:K,8,FALSE)/1000,"")</f>
        <v>10</v>
      </c>
      <c r="L50" s="43" t="str">
        <f>IFERROR(IF(VLOOKUP(G50,Notas!B:K,9,FALSE)=".000","",VLOOKUP(G50,Notas!B:K,9,FALSE)/1000),"")</f>
        <v/>
      </c>
      <c r="M50" s="78"/>
    </row>
    <row r="51" spans="2:13" ht="14.25" customHeight="1" x14ac:dyDescent="0.3">
      <c r="B51" s="76"/>
      <c r="C51" s="114"/>
      <c r="D51" s="39" t="s">
        <v>66</v>
      </c>
      <c r="E51" s="91" t="s">
        <v>67</v>
      </c>
      <c r="F51" s="92"/>
      <c r="G51" s="40" t="str">
        <f>IF($L$9="","",IFERROR(VLOOKUP(IFERROR(VLOOKUP(D51,Notas!B:B,1,FALSE),VLOOKUP(D51,Equivalencia!A:F,5,FALSE)),Notas!B:B,1,FALSE),VLOOKUP(D51,Equivalencia!A:H,8,FALSE)))</f>
        <v>CS119</v>
      </c>
      <c r="H51" s="91" t="str">
        <f>IFERROR(IF($L$9="","",IFERROR(IFERROR(VLOOKUP(G51,Equivalencia!A:B,2,FALSE),VLOOKUP(G51,Equivalencia!E:F,2,FALSE)),VLOOKUP(G51,Equivalencia!H:I,2,FALSE))),"")</f>
        <v>Procedimientos Disciplinarios y Administrativos</v>
      </c>
      <c r="I51" s="92"/>
      <c r="J51" s="41">
        <v>1</v>
      </c>
      <c r="K51" s="42">
        <f>IFERROR(VLOOKUP(G51,Notas!B:K,8,FALSE)/1000,"")</f>
        <v>7.8</v>
      </c>
      <c r="L51" s="43" t="str">
        <f>IFERROR(IF(VLOOKUP(G51,Notas!B:K,9,FALSE)=".000","",VLOOKUP(G51,Notas!B:K,9,FALSE)/1000),"")</f>
        <v/>
      </c>
      <c r="M51" s="78"/>
    </row>
    <row r="52" spans="2:13" ht="14.25" customHeight="1" x14ac:dyDescent="0.3">
      <c r="B52" s="76"/>
      <c r="C52" s="114"/>
      <c r="D52" s="39" t="s">
        <v>122</v>
      </c>
      <c r="E52" s="91" t="s">
        <v>61</v>
      </c>
      <c r="F52" s="92"/>
      <c r="G52" s="40" t="str">
        <f>IF($L$9="","",IFERROR(VLOOKUP(IFERROR(VLOOKUP(D52,Notas!B:B,1,FALSE),VLOOKUP(D52,Equivalencia!A:F,5,FALSE)),Notas!B:B,1,FALSE),VLOOKUP(D52,Equivalencia!A:H,8,FALSE)))</f>
        <v>AM670</v>
      </c>
      <c r="H52" s="91" t="str">
        <f>IFERROR(IF($L$9="","",IFERROR(IFERROR(VLOOKUP(G52,Equivalencia!A:B,2,FALSE),VLOOKUP(G52,Equivalencia!E:F,2,FALSE)),VLOOKUP(G52,Equivalencia!H:I,2,FALSE))),"")</f>
        <v>Régimen Fiscal Y Control Interno</v>
      </c>
      <c r="I52" s="92"/>
      <c r="J52" s="41">
        <v>2</v>
      </c>
      <c r="K52" s="42">
        <f>IFERROR(VLOOKUP(G52,Notas!B:K,8,FALSE)/1000,"")</f>
        <v>9.02</v>
      </c>
      <c r="L52" s="43" t="str">
        <f>IFERROR(IF(VLOOKUP(G52,Notas!B:K,9,FALSE)=".000","",VLOOKUP(G52,Notas!B:K,9,FALSE)/1000),"")</f>
        <v/>
      </c>
      <c r="M52" s="78"/>
    </row>
    <row r="53" spans="2:13" ht="14.25" customHeight="1" x14ac:dyDescent="0.3">
      <c r="B53" s="76"/>
      <c r="C53" s="114"/>
      <c r="D53" s="39" t="s">
        <v>62</v>
      </c>
      <c r="E53" s="91" t="s">
        <v>63</v>
      </c>
      <c r="F53" s="92"/>
      <c r="G53" s="40" t="str">
        <f>IF($L$9="","",IFERROR(VLOOKUP(IFERROR(VLOOKUP(D53,Notas!B:B,1,FALSE),VLOOKUP(D53,Equivalencia!A:F,5,FALSE)),Notas!B:B,1,FALSE),VLOOKUP(D53,Equivalencia!A:H,8,FALSE)))</f>
        <v>CB404</v>
      </c>
      <c r="H53" s="91" t="str">
        <f>IFERROR(IF($L$9="","",IFERROR(IFERROR(VLOOKUP(G53,Equivalencia!A:B,2,FALSE),VLOOKUP(G53,Equivalencia!E:F,2,FALSE)),VLOOKUP(G53,Equivalencia!H:I,2,FALSE))),"")</f>
        <v>Informática</v>
      </c>
      <c r="I53" s="92"/>
      <c r="J53" s="41">
        <v>2</v>
      </c>
      <c r="K53" s="42">
        <f>IFERROR(VLOOKUP(G53,Notas!B:K,8,FALSE)/1000,"")</f>
        <v>7.56</v>
      </c>
      <c r="L53" s="43" t="str">
        <f>IFERROR(IF(VLOOKUP(G53,Notas!B:K,9,FALSE)=".000","",VLOOKUP(G53,Notas!B:K,9,FALSE)/1000),"")</f>
        <v/>
      </c>
      <c r="M53" s="78"/>
    </row>
    <row r="54" spans="2:13" ht="14.25" customHeight="1" x14ac:dyDescent="0.3">
      <c r="B54" s="76"/>
      <c r="C54" s="114"/>
      <c r="D54" s="39" t="s">
        <v>297</v>
      </c>
      <c r="E54" s="91" t="s">
        <v>172</v>
      </c>
      <c r="F54" s="92"/>
      <c r="G54" s="40" t="str">
        <f>IF($L$9="","",IFERROR(VLOOKUP(IFERROR(VLOOKUP(D54,Notas!B:B,1,FALSE),VLOOKUP(D54,Equivalencia!A:F,5,FALSE)),Notas!B:B,1,FALSE),VLOOKUP(D54,Equivalencia!A:H,8,FALSE)))</f>
        <v>AM116</v>
      </c>
      <c r="H54" s="91" t="str">
        <f>IFERROR(IF($L$9="","",IFERROR(IFERROR(VLOOKUP(G54,Equivalencia!A:B,2,FALSE),VLOOKUP(G54,Equivalencia!E:F,2,FALSE)),VLOOKUP(G54,Equivalencia!H:I,2,FALSE))),"")</f>
        <v>Principios De Economia</v>
      </c>
      <c r="I54" s="92"/>
      <c r="J54" s="41">
        <v>2</v>
      </c>
      <c r="K54" s="42">
        <f>IFERROR(VLOOKUP(G54,Notas!B:K,8,FALSE)/1000,"")</f>
        <v>7.67</v>
      </c>
      <c r="L54" s="43" t="str">
        <f>IFERROR(IF(VLOOKUP(G54,Notas!B:K,9,FALSE)=".000","",VLOOKUP(G54,Notas!B:K,9,FALSE)/1000),"")</f>
        <v/>
      </c>
      <c r="M54" s="78"/>
    </row>
    <row r="55" spans="2:13" ht="14.25" customHeight="1" x14ac:dyDescent="0.3">
      <c r="B55" s="76"/>
      <c r="C55" s="114"/>
      <c r="D55" s="102" t="s">
        <v>168</v>
      </c>
      <c r="E55" s="103" t="s">
        <v>167</v>
      </c>
      <c r="F55" s="104"/>
      <c r="G55" s="105" t="str">
        <f>IF($L$9="","",IFERROR(VLOOKUP(IFERROR(VLOOKUP(D55,Notas!B:B,1,FALSE),VLOOKUP(D55,Equivalencia!A:F,5,FALSE)),Notas!B:B,1,FALSE),VLOOKUP(D55,Equivalencia!A:H,8,FALSE)))</f>
        <v>CS145</v>
      </c>
      <c r="H55" s="103" t="str">
        <f>IFERROR(IF($L$9="","",IFERROR(IFERROR(VLOOKUP(G55,Equivalencia!A:B,2,FALSE),VLOOKUP(G55,Equivalencia!E:F,2,FALSE)),VLOOKUP(G55,Equivalencia!H:I,2,FALSE))),"")</f>
        <v>Procedimientos Judiciales</v>
      </c>
      <c r="I55" s="104"/>
      <c r="J55" s="106">
        <v>1</v>
      </c>
      <c r="K55" s="107">
        <f>IFERROR(VLOOKUP(G55,Notas!B:K,8,FALSE)/1000,"")</f>
        <v>10</v>
      </c>
      <c r="L55" s="108" t="str">
        <f>IFERROR(IF(VLOOKUP(G55,Notas!B:K,9,FALSE)=".000","",VLOOKUP(G55,Notas!B:K,9,FALSE)/1000),"")</f>
        <v/>
      </c>
      <c r="M55" s="78"/>
    </row>
    <row r="56" spans="2:13" ht="14.25" customHeight="1" x14ac:dyDescent="0.3">
      <c r="B56" s="76"/>
      <c r="C56" s="114" t="s">
        <v>70</v>
      </c>
      <c r="D56" s="34" t="s">
        <v>80</v>
      </c>
      <c r="E56" s="95" t="s">
        <v>81</v>
      </c>
      <c r="F56" s="96"/>
      <c r="G56" s="35" t="str">
        <f>IF($L$9="","",IFERROR(VLOOKUP(IFERROR(VLOOKUP(D56,Notas!B:B,1,FALSE),VLOOKUP(D56,Equivalencia!A:F,5,FALSE)),Notas!B:B,1,FALSE),VLOOKUP(D56,Equivalencia!A:H,8,FALSE)))</f>
        <v>CS314</v>
      </c>
      <c r="H56" s="95" t="str">
        <f>IFERROR(IF($L$9="","",IFERROR(IFERROR(VLOOKUP(G56,Equivalencia!A:B,2,FALSE),VLOOKUP(G56,Equivalencia!E:F,2,FALSE)),VLOOKUP(G56,Equivalencia!H:I,2,FALSE))),"")</f>
        <v>Idiomas I</v>
      </c>
      <c r="I56" s="96"/>
      <c r="J56" s="36">
        <v>2</v>
      </c>
      <c r="K56" s="37">
        <f>IFERROR(VLOOKUP(G56,Notas!B:K,8,FALSE)/1000,"")</f>
        <v>7.7</v>
      </c>
      <c r="L56" s="38" t="str">
        <f>IFERROR(IF(VLOOKUP(G56,Notas!B:K,9,FALSE)=".000","",VLOOKUP(G56,Notas!B:K,9,FALSE)/1000),"")</f>
        <v/>
      </c>
      <c r="M56" s="78"/>
    </row>
    <row r="57" spans="2:13" ht="14.25" customHeight="1" x14ac:dyDescent="0.3">
      <c r="B57" s="76"/>
      <c r="C57" s="114"/>
      <c r="D57" s="39" t="s">
        <v>82</v>
      </c>
      <c r="E57" s="91" t="s">
        <v>83</v>
      </c>
      <c r="F57" s="92"/>
      <c r="G57" s="40" t="str">
        <f>IF($L$9="","",IFERROR(VLOOKUP(IFERROR(VLOOKUP(D57,Notas!B:B,1,FALSE),VLOOKUP(D57,Equivalencia!A:F,5,FALSE)),Notas!B:B,1,FALSE),VLOOKUP(D57,Equivalencia!A:H,8,FALSE)))</f>
        <v>CS315</v>
      </c>
      <c r="H57" s="91" t="str">
        <f>IFERROR(IF($L$9="","",IFERROR(IFERROR(VLOOKUP(G57,Equivalencia!A:B,2,FALSE),VLOOKUP(G57,Equivalencia!E:F,2,FALSE)),VLOOKUP(G57,Equivalencia!H:I,2,FALSE))),"")</f>
        <v>Idiomas II</v>
      </c>
      <c r="I57" s="92"/>
      <c r="J57" s="41">
        <v>2</v>
      </c>
      <c r="K57" s="42">
        <f>IFERROR(VLOOKUP(G57,Notas!B:K,8,FALSE)/1000,"")</f>
        <v>8.6999999999999993</v>
      </c>
      <c r="L57" s="43" t="str">
        <f>IFERROR(IF(VLOOKUP(G57,Notas!B:K,9,FALSE)=".000","",VLOOKUP(G57,Notas!B:K,9,FALSE)/1000),"")</f>
        <v/>
      </c>
      <c r="M57" s="78"/>
    </row>
    <row r="58" spans="2:13" ht="14.25" customHeight="1" x14ac:dyDescent="0.3">
      <c r="B58" s="76"/>
      <c r="C58" s="114"/>
      <c r="D58" s="39" t="s">
        <v>84</v>
      </c>
      <c r="E58" s="91" t="s">
        <v>85</v>
      </c>
      <c r="F58" s="92"/>
      <c r="G58" s="40" t="str">
        <f>IF($L$9="","",IFERROR(VLOOKUP(IFERROR(VLOOKUP(D58,Notas!B:B,1,FALSE),VLOOKUP(D58,Equivalencia!A:F,5,FALSE)),Notas!B:B,1,FALSE),VLOOKUP(D58,Equivalencia!A:H,8,FALSE)))</f>
        <v>CS316</v>
      </c>
      <c r="H58" s="91" t="str">
        <f>IFERROR(IF($L$9="","",IFERROR(IFERROR(VLOOKUP(G58,Equivalencia!A:B,2,FALSE),VLOOKUP(G58,Equivalencia!E:F,2,FALSE)),VLOOKUP(G58,Equivalencia!H:I,2,FALSE))),"")</f>
        <v>Idiomas III</v>
      </c>
      <c r="I58" s="92"/>
      <c r="J58" s="41">
        <v>2</v>
      </c>
      <c r="K58" s="42">
        <f>IFERROR(VLOOKUP(G58,Notas!B:K,8,FALSE)/1000,"")</f>
        <v>7.7130000000000001</v>
      </c>
      <c r="L58" s="43" t="str">
        <f>IFERROR(IF(VLOOKUP(G58,Notas!B:K,9,FALSE)=".000","",VLOOKUP(G58,Notas!B:K,9,FALSE)/1000),"")</f>
        <v/>
      </c>
      <c r="M58" s="78"/>
    </row>
    <row r="59" spans="2:13" ht="14.25" customHeight="1" x14ac:dyDescent="0.3">
      <c r="B59" s="76"/>
      <c r="C59" s="114"/>
      <c r="D59" s="39" t="s">
        <v>86</v>
      </c>
      <c r="E59" s="91" t="s">
        <v>87</v>
      </c>
      <c r="F59" s="92"/>
      <c r="G59" s="40" t="str">
        <f>IF($L$9="","",IFERROR(VLOOKUP(IFERROR(VLOOKUP(D59,Notas!B:B,1,FALSE),VLOOKUP(D59,Equivalencia!A:F,5,FALSE)),Notas!B:B,1,FALSE),VLOOKUP(D59,Equivalencia!A:H,8,FALSE)))</f>
        <v>CS317</v>
      </c>
      <c r="H59" s="91" t="str">
        <f>IFERROR(IF($L$9="","",IFERROR(IFERROR(VLOOKUP(G59,Equivalencia!A:B,2,FALSE),VLOOKUP(G59,Equivalencia!E:F,2,FALSE)),VLOOKUP(G59,Equivalencia!H:I,2,FALSE))),"")</f>
        <v>Idiomas IV</v>
      </c>
      <c r="I59" s="92"/>
      <c r="J59" s="41">
        <v>2</v>
      </c>
      <c r="K59" s="42">
        <f>IFERROR(VLOOKUP(G59,Notas!B:K,8,FALSE)/1000,"")</f>
        <v>6.25</v>
      </c>
      <c r="L59" s="43" t="str">
        <f>IFERROR(IF(VLOOKUP(G59,Notas!B:K,9,FALSE)=".000","",VLOOKUP(G59,Notas!B:K,9,FALSE)/1000),"")</f>
        <v/>
      </c>
      <c r="M59" s="78"/>
    </row>
    <row r="60" spans="2:13" ht="14.25" customHeight="1" x14ac:dyDescent="0.3">
      <c r="B60" s="76"/>
      <c r="C60" s="114"/>
      <c r="D60" s="39" t="s">
        <v>88</v>
      </c>
      <c r="E60" s="91" t="s">
        <v>89</v>
      </c>
      <c r="F60" s="92"/>
      <c r="G60" s="40" t="str">
        <f>IF($L$9="","",IFERROR(VLOOKUP(IFERROR(VLOOKUP(D60,Notas!B:B,1,FALSE),VLOOKUP(D60,Equivalencia!A:F,5,FALSE)),Notas!B:B,1,FALSE),VLOOKUP(D60,Equivalencia!A:H,8,FALSE)))</f>
        <v>CS318</v>
      </c>
      <c r="H60" s="91" t="str">
        <f>IFERROR(IF($L$9="","",IFERROR(IFERROR(VLOOKUP(G60,Equivalencia!A:B,2,FALSE),VLOOKUP(G60,Equivalencia!E:F,2,FALSE)),VLOOKUP(G60,Equivalencia!H:I,2,FALSE))),"")</f>
        <v>Idiomas V</v>
      </c>
      <c r="I60" s="92"/>
      <c r="J60" s="41">
        <v>2</v>
      </c>
      <c r="K60" s="42">
        <f>IFERROR(VLOOKUP(G60,Notas!B:K,8,FALSE)/1000,"")</f>
        <v>8.3650000000000002</v>
      </c>
      <c r="L60" s="43" t="str">
        <f>IFERROR(IF(VLOOKUP(G60,Notas!B:K,9,FALSE)=".000","",VLOOKUP(G60,Notas!B:K,9,FALSE)/1000),"")</f>
        <v/>
      </c>
      <c r="M60" s="78"/>
    </row>
    <row r="61" spans="2:13" ht="14.25" customHeight="1" x14ac:dyDescent="0.3">
      <c r="B61" s="76"/>
      <c r="C61" s="114"/>
      <c r="D61" s="39" t="s">
        <v>90</v>
      </c>
      <c r="E61" s="91" t="s">
        <v>91</v>
      </c>
      <c r="F61" s="92"/>
      <c r="G61" s="40" t="str">
        <f>IF($L$9="","",IFERROR(VLOOKUP(IFERROR(VLOOKUP(D61,Notas!B:B,1,FALSE),VLOOKUP(D61,Equivalencia!A:F,5,FALSE)),Notas!B:B,1,FALSE),VLOOKUP(D61,Equivalencia!A:H,8,FALSE)))</f>
        <v>CS319</v>
      </c>
      <c r="H61" s="91" t="str">
        <f>IFERROR(IF($L$9="","",IFERROR(IFERROR(VLOOKUP(G61,Equivalencia!A:B,2,FALSE),VLOOKUP(G61,Equivalencia!E:F,2,FALSE)),VLOOKUP(G61,Equivalencia!H:I,2,FALSE))),"")</f>
        <v>Idiomas VI</v>
      </c>
      <c r="I61" s="92"/>
      <c r="J61" s="41">
        <v>2</v>
      </c>
      <c r="K61" s="42">
        <f>IFERROR(VLOOKUP(G61,Notas!B:K,8,FALSE)/1000,"")</f>
        <v>8.9350000000000005</v>
      </c>
      <c r="L61" s="43" t="str">
        <f>IFERROR(IF(VLOOKUP(G61,Notas!B:K,9,FALSE)=".000","",VLOOKUP(G61,Notas!B:K,9,FALSE)/1000),"")</f>
        <v/>
      </c>
      <c r="M61" s="78"/>
    </row>
    <row r="62" spans="2:13" ht="14.25" customHeight="1" x14ac:dyDescent="0.3">
      <c r="B62" s="76"/>
      <c r="C62" s="114"/>
      <c r="D62" s="39" t="s">
        <v>78</v>
      </c>
      <c r="E62" s="91" t="s">
        <v>79</v>
      </c>
      <c r="F62" s="92"/>
      <c r="G62" s="40" t="str">
        <f>IF($L$9="","",IFERROR(VLOOKUP(IFERROR(VLOOKUP(D62,Notas!B:B,1,FALSE),VLOOKUP(D62,Equivalencia!A:F,5,FALSE)),Notas!B:B,1,FALSE),VLOOKUP(D62,Equivalencia!A:H,8,FALSE)))</f>
        <v>CS131</v>
      </c>
      <c r="H62" s="91" t="str">
        <f>IFERROR(IF($L$9="","",IFERROR(IFERROR(VLOOKUP(G62,Equivalencia!A:B,2,FALSE),VLOOKUP(G62,Equivalencia!E:F,2,FALSE)),VLOOKUP(G62,Equivalencia!H:I,2,FALSE))),"")</f>
        <v>Fundamentos de Liderazgo</v>
      </c>
      <c r="I62" s="92"/>
      <c r="J62" s="41">
        <v>1</v>
      </c>
      <c r="K62" s="42">
        <f>IFERROR(VLOOKUP(G62,Notas!B:K,8,FALSE)/1000,"")</f>
        <v>8.56</v>
      </c>
      <c r="L62" s="43" t="str">
        <f>IFERROR(IF(VLOOKUP(G62,Notas!B:K,9,FALSE)=".000","",VLOOKUP(G62,Notas!B:K,9,FALSE)/1000),"")</f>
        <v/>
      </c>
      <c r="M62" s="78"/>
    </row>
    <row r="63" spans="2:13" ht="14.25" customHeight="1" x14ac:dyDescent="0.3">
      <c r="B63" s="76"/>
      <c r="C63" s="114"/>
      <c r="D63" s="39" t="s">
        <v>92</v>
      </c>
      <c r="E63" s="91" t="s">
        <v>93</v>
      </c>
      <c r="F63" s="92"/>
      <c r="G63" s="40" t="str">
        <f>IF($L$9="","",IFERROR(VLOOKUP(IFERROR(VLOOKUP(D63,Notas!B:B,1,FALSE),VLOOKUP(D63,Equivalencia!A:F,5,FALSE)),Notas!B:B,1,FALSE),VLOOKUP(D63,Equivalencia!A:H,8,FALSE)))</f>
        <v>CS142</v>
      </c>
      <c r="H63" s="91" t="str">
        <f>IFERROR(IF($L$9="","",IFERROR(IFERROR(VLOOKUP(G63,Equivalencia!A:B,2,FALSE),VLOOKUP(G63,Equivalencia!E:F,2,FALSE)),VLOOKUP(G63,Equivalencia!H:I,2,FALSE))),"")</f>
        <v>Liderazgo Militar</v>
      </c>
      <c r="I63" s="92"/>
      <c r="J63" s="41">
        <v>1</v>
      </c>
      <c r="K63" s="42">
        <f>IFERROR(VLOOKUP(G63,Notas!B:K,8,FALSE)/1000,"")</f>
        <v>9.3059999999999992</v>
      </c>
      <c r="L63" s="43" t="str">
        <f>IFERROR(IF(VLOOKUP(G63,Notas!B:K,9,FALSE)=".000","",VLOOKUP(G63,Notas!B:K,9,FALSE)/1000),"")</f>
        <v/>
      </c>
      <c r="M63" s="78"/>
    </row>
    <row r="64" spans="2:13" ht="14.25" customHeight="1" x14ac:dyDescent="0.3">
      <c r="B64" s="76"/>
      <c r="C64" s="114"/>
      <c r="D64" s="39" t="s">
        <v>71</v>
      </c>
      <c r="E64" s="91" t="s">
        <v>72</v>
      </c>
      <c r="F64" s="92"/>
      <c r="G64" s="40" t="str">
        <f>IF($L$9="","",IFERROR(VLOOKUP(IFERROR(VLOOKUP(D64,Notas!B:B,1,FALSE),VLOOKUP(D64,Equivalencia!A:F,5,FALSE)),Notas!B:B,1,FALSE),VLOOKUP(D64,Equivalencia!A:H,8,FALSE)))</f>
        <v>CS112</v>
      </c>
      <c r="H64" s="91" t="str">
        <f>IFERROR(IF($L$9="","",IFERROR(IFERROR(VLOOKUP(G64,Equivalencia!A:B,2,FALSE),VLOOKUP(G64,Equivalencia!E:F,2,FALSE)),VLOOKUP(G64,Equivalencia!H:I,2,FALSE))),"")</f>
        <v>Derecho Constitucional</v>
      </c>
      <c r="I64" s="92"/>
      <c r="J64" s="41">
        <v>2</v>
      </c>
      <c r="K64" s="42">
        <f>IFERROR(VLOOKUP(G64,Notas!B:K,8,FALSE)/1000,"")</f>
        <v>8.6999999999999993</v>
      </c>
      <c r="L64" s="43" t="str">
        <f>IFERROR(IF(VLOOKUP(G64,Notas!B:K,9,FALSE)=".000","",VLOOKUP(G64,Notas!B:K,9,FALSE)/1000),"")</f>
        <v/>
      </c>
      <c r="M64" s="78"/>
    </row>
    <row r="65" spans="2:14" ht="14.25" customHeight="1" x14ac:dyDescent="0.3">
      <c r="B65" s="76"/>
      <c r="C65" s="114"/>
      <c r="D65" s="39" t="s">
        <v>125</v>
      </c>
      <c r="E65" s="91" t="s">
        <v>74</v>
      </c>
      <c r="F65" s="92"/>
      <c r="G65" s="40" t="str">
        <f>IF($L$9="","",IFERROR(VLOOKUP(IFERROR(VLOOKUP(D65,Notas!B:B,1,FALSE),VLOOKUP(D65,Equivalencia!A:F,5,FALSE)),Notas!B:B,1,FALSE),VLOOKUP(D65,Equivalencia!A:H,8,FALSE)))</f>
        <v>CS171</v>
      </c>
      <c r="H65" s="91" t="str">
        <f>IFERROR(IF($L$9="","",IFERROR(IFERROR(VLOOKUP(G65,Equivalencia!A:B,2,FALSE),VLOOKUP(G65,Equivalencia!E:F,2,FALSE)),VLOOKUP(G65,Equivalencia!H:I,2,FALSE))),"")</f>
        <v>Derechos Humanos y Derecho Internacional Humanitario</v>
      </c>
      <c r="I65" s="92"/>
      <c r="J65" s="41">
        <v>2</v>
      </c>
      <c r="K65" s="42">
        <f>IFERROR(VLOOKUP(G65,Notas!B:K,8,FALSE)/1000,"")</f>
        <v>9.49</v>
      </c>
      <c r="L65" s="43" t="str">
        <f>IFERROR(IF(VLOOKUP(G65,Notas!B:K,9,FALSE)=".000","",VLOOKUP(G65,Notas!B:K,9,FALSE)/1000),"")</f>
        <v/>
      </c>
      <c r="M65" s="78"/>
    </row>
    <row r="66" spans="2:14" ht="14.25" customHeight="1" x14ac:dyDescent="0.3">
      <c r="B66" s="76"/>
      <c r="C66" s="114"/>
      <c r="D66" s="39" t="s">
        <v>75</v>
      </c>
      <c r="E66" s="91" t="s">
        <v>76</v>
      </c>
      <c r="F66" s="92"/>
      <c r="G66" s="40" t="str">
        <f>IF($L$9="","",IFERROR(VLOOKUP(IFERROR(VLOOKUP(D66,Notas!B:B,1,FALSE),VLOOKUP(D66,Equivalencia!A:F,5,FALSE)),Notas!B:B,1,FALSE),VLOOKUP(D66,Equivalencia!A:H,8,FALSE)))</f>
        <v>CS400</v>
      </c>
      <c r="H66" s="91" t="str">
        <f>IFERROR(IF($L$9="","",IFERROR(IFERROR(VLOOKUP(G66,Equivalencia!A:B,2,FALSE),VLOOKUP(G66,Equivalencia!E:F,2,FALSE)),VLOOKUP(G66,Equivalencia!H:I,2,FALSE))),"")</f>
        <v>Ética Básica</v>
      </c>
      <c r="I66" s="92"/>
      <c r="J66" s="41">
        <v>1</v>
      </c>
      <c r="K66" s="42">
        <f>IFERROR(VLOOKUP(G66,Notas!B:K,8,FALSE)/1000,"")</f>
        <v>9.83</v>
      </c>
      <c r="L66" s="43" t="str">
        <f>IFERROR(IF(VLOOKUP(G66,Notas!B:K,9,FALSE)=".000","",VLOOKUP(G66,Notas!B:K,9,FALSE)/1000),"")</f>
        <v/>
      </c>
      <c r="M66" s="78"/>
    </row>
    <row r="67" spans="2:14" ht="14.25" customHeight="1" x14ac:dyDescent="0.3">
      <c r="B67" s="76"/>
      <c r="C67" s="114"/>
      <c r="D67" s="39" t="s">
        <v>212</v>
      </c>
      <c r="E67" s="91" t="s">
        <v>77</v>
      </c>
      <c r="F67" s="92"/>
      <c r="G67" s="40" t="str">
        <f>IF($L$9="","",IFERROR(VLOOKUP(IFERROR(VLOOKUP(D67,Notas!B:B,1,FALSE),VLOOKUP(D67,Equivalencia!A:F,5,FALSE)),Notas!B:B,1,FALSE),VLOOKUP(D67,Equivalencia!A:H,8,FALSE)))</f>
        <v>CS208</v>
      </c>
      <c r="H67" s="91" t="str">
        <f>IFERROR(IF($L$9="","",IFERROR(IFERROR(VLOOKUP(G67,Equivalencia!A:B,2,FALSE),VLOOKUP(G67,Equivalencia!E:F,2,FALSE)),VLOOKUP(G67,Equivalencia!H:I,2,FALSE))),"")</f>
        <v>Ética Profesional</v>
      </c>
      <c r="I67" s="92"/>
      <c r="J67" s="41">
        <v>1</v>
      </c>
      <c r="K67" s="42">
        <f>IFERROR(VLOOKUP(G67,Notas!B:K,8,FALSE)/1000,"")</f>
        <v>9.61</v>
      </c>
      <c r="L67" s="43" t="str">
        <f>IFERROR(IF(VLOOKUP(G67,Notas!B:K,9,FALSE)=".000","",VLOOKUP(G67,Notas!B:K,9,FALSE)/1000),"")</f>
        <v/>
      </c>
      <c r="M67" s="78"/>
    </row>
    <row r="68" spans="2:14" ht="14.25" customHeight="1" x14ac:dyDescent="0.3">
      <c r="B68" s="76"/>
      <c r="C68" s="114"/>
      <c r="D68" s="102" t="s">
        <v>173</v>
      </c>
      <c r="E68" s="103" t="s">
        <v>174</v>
      </c>
      <c r="F68" s="104"/>
      <c r="G68" s="40" t="str">
        <f>IF($L$9="","",IFERROR(VLOOKUP(IFERROR(VLOOKUP(D68,Notas!B:B,1,FALSE),VLOOKUP(D68,Equivalencia!A:F,5,FALSE)),Notas!B:B,1,FALSE),VLOOKUP(D68,Equivalencia!A:H,8,FALSE)))</f>
        <v>CS146</v>
      </c>
      <c r="H68" s="91" t="str">
        <f>IFERROR(IF($L$9="","",IFERROR(IFERROR(VLOOKUP(G68,Equivalencia!A:B,2,FALSE),VLOOKUP(G68,Equivalencia!E:F,2,FALSE)),VLOOKUP(G68,Equivalencia!H:I,2,FALSE))),"")</f>
        <v>Psicologia General</v>
      </c>
      <c r="I68" s="92"/>
      <c r="J68" s="41">
        <v>1</v>
      </c>
      <c r="K68" s="42">
        <f>IFERROR(VLOOKUP(G68,Notas!B:K,8,FALSE)/1000,"")</f>
        <v>9.58</v>
      </c>
      <c r="L68" s="43" t="str">
        <f>IFERROR(IF(VLOOKUP(G68,Notas!B:K,9,FALSE)=".000","",VLOOKUP(G68,Notas!B:K,9,FALSE)/1000),"")</f>
        <v/>
      </c>
      <c r="M68" s="78"/>
    </row>
    <row r="69" spans="2:14" ht="14.25" customHeight="1" x14ac:dyDescent="0.3">
      <c r="B69" s="76"/>
      <c r="C69" s="115"/>
      <c r="D69" s="44" t="s">
        <v>94</v>
      </c>
      <c r="E69" s="93" t="s">
        <v>95</v>
      </c>
      <c r="F69" s="94"/>
      <c r="G69" s="45" t="str">
        <f>IF($L$9="","",IFERROR(VLOOKUP(IFERROR(VLOOKUP(D69,Notas!B:B,1,FALSE),VLOOKUP(D69,Equivalencia!A:F,5,FALSE)),Notas!B:B,1,FALSE),VLOOKUP(D69,Equivalencia!A:H,8,FALSE)))</f>
        <v>IM256</v>
      </c>
      <c r="H69" s="93" t="str">
        <f>IFERROR(IF($L$9="","",IFERROR(IFERROR(VLOOKUP(G69,Equivalencia!A:B,2,FALSE),VLOOKUP(G69,Equivalencia!E:F,2,FALSE)),VLOOKUP(G69,Equivalencia!H:I,2,FALSE))),"")</f>
        <v>Acción Integral</v>
      </c>
      <c r="I69" s="94"/>
      <c r="J69" s="46">
        <v>2</v>
      </c>
      <c r="K69" s="47">
        <f>IFERROR(VLOOKUP(G69,Notas!B:K,8,FALSE)/1000,"")</f>
        <v>8.6</v>
      </c>
      <c r="L69" s="48" t="str">
        <f>IFERROR(IF(VLOOKUP(G69,Notas!B:K,9,FALSE)=".000","",VLOOKUP(G69,Notas!B:K,9,FALSE)/1000),"")</f>
        <v/>
      </c>
      <c r="M69" s="78"/>
    </row>
    <row r="70" spans="2:14" ht="14.25" customHeight="1" x14ac:dyDescent="0.3">
      <c r="B70" s="76"/>
      <c r="C70" s="116" t="s">
        <v>96</v>
      </c>
      <c r="D70" s="34" t="s">
        <v>103</v>
      </c>
      <c r="E70" s="95" t="s">
        <v>104</v>
      </c>
      <c r="F70" s="96"/>
      <c r="G70" s="40" t="str">
        <f>IF($L$9="","",IFERROR(VLOOKUP(IFERROR(VLOOKUP(D70,Notas!B:B,1,FALSE),VLOOKUP(D70,Equivalencia!A:F,5,FALSE)),Notas!B:B,1,FALSE),VLOOKUP(D70,Equivalencia!A:H,8,FALSE)))</f>
        <v>CS200</v>
      </c>
      <c r="H70" s="95" t="str">
        <f>IFERROR(IF($L$9="","",IFERROR(IFERROR(VLOOKUP(G70,Equivalencia!A:B,2,FALSE),VLOOKUP(G70,Equivalencia!E:F,2,FALSE)),VLOOKUP(G70,Equivalencia!H:I,2,FALSE))),"")</f>
        <v>Técnicas de Expresión Oral y Escrita</v>
      </c>
      <c r="I70" s="96"/>
      <c r="J70" s="36">
        <v>2</v>
      </c>
      <c r="K70" s="37">
        <f>IFERROR(VLOOKUP(G70,Notas!B:K,8,FALSE)/1000,"")</f>
        <v>9.44</v>
      </c>
      <c r="L70" s="38" t="str">
        <f>IFERROR(IF(VLOOKUP(G70,Notas!B:K,9,FALSE)=".000","",VLOOKUP(G70,Notas!B:K,9,FALSE)/1000),"")</f>
        <v/>
      </c>
      <c r="M70" s="78"/>
    </row>
    <row r="71" spans="2:14" ht="14.25" customHeight="1" x14ac:dyDescent="0.3">
      <c r="B71" s="76"/>
      <c r="C71" s="114"/>
      <c r="D71" s="39" t="s">
        <v>97</v>
      </c>
      <c r="E71" s="91" t="s">
        <v>98</v>
      </c>
      <c r="F71" s="92"/>
      <c r="G71" s="40" t="str">
        <f>IF($L$9="","",IFERROR(VLOOKUP(IFERROR(VLOOKUP(D71,Notas!B:B,1,FALSE),VLOOKUP(D71,Equivalencia!A:F,5,FALSE)),Notas!B:B,1,FALSE),VLOOKUP(D71,Equivalencia!A:H,8,FALSE)))</f>
        <v>CS711</v>
      </c>
      <c r="H71" s="91" t="str">
        <f>IFERROR(IF($L$9="","",IFERROR(IFERROR(VLOOKUP(G71,Equivalencia!A:B,2,FALSE),VLOOKUP(G71,Equivalencia!E:F,2,FALSE)),VLOOKUP(G71,Equivalencia!H:I,2,FALSE))),"")</f>
        <v>Investigación Formativa I</v>
      </c>
      <c r="I71" s="92"/>
      <c r="J71" s="41">
        <v>1</v>
      </c>
      <c r="K71" s="42">
        <f>IFERROR(VLOOKUP(G71,Notas!B:K,8,FALSE)/1000,"")</f>
        <v>10</v>
      </c>
      <c r="L71" s="43" t="str">
        <f>IFERROR(IF(VLOOKUP(G71,Notas!B:K,9,FALSE)=".000","",VLOOKUP(G71,Notas!B:K,9,FALSE)/1000),"")</f>
        <v/>
      </c>
      <c r="M71" s="78"/>
    </row>
    <row r="72" spans="2:14" ht="14.25" customHeight="1" x14ac:dyDescent="0.3">
      <c r="B72" s="76"/>
      <c r="C72" s="114"/>
      <c r="D72" s="39" t="s">
        <v>99</v>
      </c>
      <c r="E72" s="91" t="s">
        <v>100</v>
      </c>
      <c r="F72" s="92"/>
      <c r="G72" s="40" t="str">
        <f>IF($L$9="","",IFERROR(VLOOKUP(IFERROR(VLOOKUP(D72,Notas!B:B,1,FALSE),VLOOKUP(D72,Equivalencia!A:F,5,FALSE)),Notas!B:B,1,FALSE),VLOOKUP(D72,Equivalencia!A:H,8,FALSE)))</f>
        <v>CS712</v>
      </c>
      <c r="H72" s="91" t="str">
        <f>IFERROR(IF($L$9="","",IFERROR(IFERROR(VLOOKUP(G72,Equivalencia!A:B,2,FALSE),VLOOKUP(G72,Equivalencia!E:F,2,FALSE)),VLOOKUP(G72,Equivalencia!H:I,2,FALSE))),"")</f>
        <v>Investigación Formativa II</v>
      </c>
      <c r="I72" s="92"/>
      <c r="J72" s="41">
        <v>1</v>
      </c>
      <c r="K72" s="42">
        <f>IFERROR(VLOOKUP(G72,Notas!B:K,8,FALSE)/1000,"")</f>
        <v>9.1999999999999993</v>
      </c>
      <c r="L72" s="43" t="str">
        <f>IFERROR(IF(VLOOKUP(G72,Notas!B:K,9,FALSE)=".000","",VLOOKUP(G72,Notas!B:K,9,FALSE)/1000),"")</f>
        <v/>
      </c>
      <c r="M72" s="78"/>
    </row>
    <row r="73" spans="2:14" ht="14.25" customHeight="1" x14ac:dyDescent="0.3">
      <c r="B73" s="76"/>
      <c r="C73" s="115"/>
      <c r="D73" s="44" t="s">
        <v>101</v>
      </c>
      <c r="E73" s="93" t="s">
        <v>102</v>
      </c>
      <c r="F73" s="94"/>
      <c r="G73" s="45" t="str">
        <f>IF($L$9="","",IFERROR(VLOOKUP(IFERROR(VLOOKUP(D73,Notas!B:B,1,FALSE),VLOOKUP(D73,Equivalencia!A:F,5,FALSE)),Notas!B:B,1,FALSE),VLOOKUP(D73,Equivalencia!A:H,8,FALSE)))</f>
        <v>CS713</v>
      </c>
      <c r="H73" s="93" t="str">
        <f>IFERROR(IF($L$9="","",IFERROR(IFERROR(VLOOKUP(G73,Equivalencia!A:B,2,FALSE),VLOOKUP(G73,Equivalencia!E:F,2,FALSE)),VLOOKUP(G73,Equivalencia!H:I,2,FALSE))),"")</f>
        <v>Investigación Formativa III</v>
      </c>
      <c r="I73" s="94"/>
      <c r="J73" s="46">
        <v>1</v>
      </c>
      <c r="K73" s="47">
        <f>IFERROR(VLOOKUP(G73,Notas!B:K,8,FALSE)/1000,"")</f>
        <v>8.76</v>
      </c>
      <c r="L73" s="48" t="str">
        <f>IFERROR(IF(VLOOKUP(G73,Notas!B:K,9,FALSE)=".000","",VLOOKUP(G73,Notas!B:K,9,FALSE)/1000),"")</f>
        <v/>
      </c>
      <c r="M73" s="78"/>
    </row>
    <row r="74" spans="2:14" ht="14.25" customHeight="1" x14ac:dyDescent="0.3">
      <c r="B74" s="76"/>
      <c r="C74" s="127" t="s">
        <v>324</v>
      </c>
      <c r="D74" s="121" t="s">
        <v>177</v>
      </c>
      <c r="E74" s="121"/>
      <c r="F74" s="122"/>
      <c r="G74" s="97" t="str">
        <f>Optativas!D4</f>
        <v>CN330</v>
      </c>
      <c r="H74" s="98" t="str">
        <f>Optativas!E4</f>
        <v>Maniobras</v>
      </c>
      <c r="I74" s="99"/>
      <c r="J74" s="100">
        <f>Optativas!F4</f>
        <v>2</v>
      </c>
      <c r="K74" s="101">
        <f>IFERROR(VLOOKUP(G74,Notas!B:K,8,FALSE)/1000,"")</f>
        <v>9.75</v>
      </c>
      <c r="L74" s="52" t="str">
        <f>IFERROR(IF(VLOOKUP(G74,Notas!B:K,9,FALSE)=".000","",VLOOKUP(G74,Notas!B:K,9,FALSE)/1000),"")</f>
        <v/>
      </c>
      <c r="M74" s="78"/>
    </row>
    <row r="75" spans="2:14" ht="14.25" customHeight="1" x14ac:dyDescent="0.3">
      <c r="B75" s="76"/>
      <c r="C75" s="128"/>
      <c r="D75" s="123"/>
      <c r="E75" s="123"/>
      <c r="F75" s="124"/>
      <c r="G75" s="97" t="str">
        <f>Optativas!D5</f>
        <v>CN320</v>
      </c>
      <c r="H75" s="98" t="str">
        <f>Optativas!E5</f>
        <v>Navegación Costera</v>
      </c>
      <c r="I75" s="99"/>
      <c r="J75" s="100">
        <f>Optativas!F5</f>
        <v>2</v>
      </c>
      <c r="K75" s="101">
        <f>IFERROR(VLOOKUP(G75,Notas!B:K,8,FALSE)/1000,"")</f>
        <v>9.01</v>
      </c>
      <c r="L75" s="52" t="str">
        <f>IFERROR(IF(VLOOKUP(G75,Notas!B:K,9,FALSE)=".000","",VLOOKUP(G75,Notas!B:K,9,FALSE)/1000),"")</f>
        <v/>
      </c>
      <c r="M75" s="78"/>
    </row>
    <row r="76" spans="2:14" ht="14.25" customHeight="1" x14ac:dyDescent="0.3">
      <c r="B76" s="76"/>
      <c r="C76" s="128"/>
      <c r="D76" s="123"/>
      <c r="E76" s="123"/>
      <c r="F76" s="124"/>
      <c r="G76" s="97" t="str">
        <f>Optativas!D6</f>
        <v>OF314</v>
      </c>
      <c r="H76" s="98" t="str">
        <f>Optativas!E6</f>
        <v>Gestión Ambiental</v>
      </c>
      <c r="I76" s="99"/>
      <c r="J76" s="100">
        <f>Optativas!F6</f>
        <v>2</v>
      </c>
      <c r="K76" s="101">
        <f>IFERROR(VLOOKUP(G76,Notas!B:K,8,FALSE)/1000,"")</f>
        <v>9.3019999999999996</v>
      </c>
      <c r="L76" s="52" t="str">
        <f>IFERROR(IF(VLOOKUP(G76,Notas!B:K,9,FALSE)=".000","",VLOOKUP(G76,Notas!B:K,9,FALSE)/1000),"")</f>
        <v/>
      </c>
      <c r="M76" s="78"/>
    </row>
    <row r="77" spans="2:14" ht="14.25" customHeight="1" x14ac:dyDescent="0.3">
      <c r="B77" s="76"/>
      <c r="C77" s="128"/>
      <c r="D77" s="123"/>
      <c r="E77" s="123"/>
      <c r="F77" s="124"/>
      <c r="G77" s="97" t="str">
        <f>Optativas!D7</f>
        <v>AM217</v>
      </c>
      <c r="H77" s="98" t="str">
        <f>Optativas!E7</f>
        <v>Sistemas Integrados de Gestión</v>
      </c>
      <c r="I77" s="99"/>
      <c r="J77" s="100">
        <f>Optativas!F7</f>
        <v>2</v>
      </c>
      <c r="K77" s="101">
        <f>IFERROR(VLOOKUP(G77,Notas!B:K,8,FALSE)/1000,"")</f>
        <v>9.6039999999999992</v>
      </c>
      <c r="L77" s="52" t="str">
        <f>IFERROR(IF(VLOOKUP(G77,Notas!B:K,9,FALSE)=".000","",VLOOKUP(G77,Notas!B:K,9,FALSE)/1000),"")</f>
        <v/>
      </c>
      <c r="M77" s="78"/>
    </row>
    <row r="78" spans="2:14" ht="14.25" customHeight="1" x14ac:dyDescent="0.3">
      <c r="B78" s="86">
        <v>1</v>
      </c>
      <c r="C78" s="129"/>
      <c r="D78" s="125"/>
      <c r="E78" s="125"/>
      <c r="F78" s="126"/>
      <c r="G78" s="97" t="str">
        <f>Optativas!D8</f>
        <v>CB109</v>
      </c>
      <c r="H78" s="98" t="str">
        <f>Optativas!E8</f>
        <v>Álgebra Lineal</v>
      </c>
      <c r="I78" s="99"/>
      <c r="J78" s="100">
        <f>Optativas!F8</f>
        <v>2</v>
      </c>
      <c r="K78" s="101">
        <f>IFERROR(VLOOKUP(G78,Notas!B:K,8,FALSE)/1000,"")</f>
        <v>8.15</v>
      </c>
      <c r="L78" s="52" t="str">
        <f>IFERROR(IF(VLOOKUP(G78,Notas!B:K,9,FALSE)=".000","",VLOOKUP(G78,Notas!B:K,9,FALSE)/1000),"")</f>
        <v/>
      </c>
      <c r="M78" s="78"/>
    </row>
    <row r="79" spans="2:14" ht="12.3" customHeight="1" x14ac:dyDescent="0.3">
      <c r="B79" s="76"/>
      <c r="C79" s="30"/>
      <c r="D79" s="31"/>
      <c r="E79" s="32"/>
      <c r="F79" s="32"/>
      <c r="G79" s="31"/>
      <c r="H79" s="32"/>
      <c r="I79" s="32"/>
      <c r="J79" s="33"/>
      <c r="K79" s="31"/>
      <c r="L79" s="31"/>
      <c r="M79" s="78"/>
      <c r="N79" s="67" t="s">
        <v>0</v>
      </c>
    </row>
    <row r="80" spans="2:14" ht="13.5" customHeight="1" x14ac:dyDescent="0.3">
      <c r="B80" s="76"/>
      <c r="C80" s="137" t="s">
        <v>105</v>
      </c>
      <c r="D80" s="138"/>
      <c r="E80" s="138"/>
      <c r="F80" s="138"/>
      <c r="G80" s="138"/>
      <c r="H80" s="138"/>
      <c r="I80" s="139"/>
      <c r="J80" s="131">
        <f>SUM(J12:J78)</f>
        <v>128</v>
      </c>
      <c r="K80" s="132"/>
      <c r="L80" s="133"/>
      <c r="M80" s="78"/>
    </row>
    <row r="81" spans="2:13" ht="13.5" customHeight="1" x14ac:dyDescent="0.3">
      <c r="B81" s="76"/>
      <c r="C81" s="145" t="s">
        <v>106</v>
      </c>
      <c r="D81" s="146"/>
      <c r="E81" s="146"/>
      <c r="F81" s="146"/>
      <c r="G81" s="146"/>
      <c r="H81" s="146"/>
      <c r="I81" s="147"/>
      <c r="J81" s="134">
        <f>SUMPRODUCT(J12:J78,K12:K78)/J80</f>
        <v>8.8940546875000024</v>
      </c>
      <c r="K81" s="135"/>
      <c r="L81" s="136"/>
      <c r="M81" s="78"/>
    </row>
    <row r="82" spans="2:13" ht="12.3" customHeight="1" x14ac:dyDescent="0.3">
      <c r="B82" s="76"/>
      <c r="C82" s="6"/>
      <c r="D82" s="3"/>
      <c r="E82" s="4"/>
      <c r="F82" s="4"/>
      <c r="G82" s="3"/>
      <c r="H82" s="4"/>
      <c r="I82" s="4"/>
      <c r="J82" s="5"/>
      <c r="K82" s="3"/>
      <c r="L82" s="3"/>
      <c r="M82" s="78"/>
    </row>
    <row r="83" spans="2:13" ht="12.3" customHeight="1" x14ac:dyDescent="0.3">
      <c r="B83" s="76"/>
      <c r="C83" s="88" t="s">
        <v>107</v>
      </c>
      <c r="D83" s="89"/>
      <c r="E83" s="89"/>
      <c r="F83" s="89"/>
      <c r="G83" s="89"/>
      <c r="H83" s="89"/>
      <c r="I83" s="89"/>
      <c r="J83" s="89"/>
      <c r="K83" s="89"/>
      <c r="L83" s="90"/>
      <c r="M83" s="78"/>
    </row>
    <row r="84" spans="2:13" ht="26.25" customHeight="1" x14ac:dyDescent="0.3">
      <c r="B84" s="76"/>
      <c r="C84" s="142"/>
      <c r="D84" s="143"/>
      <c r="E84" s="143"/>
      <c r="F84" s="143"/>
      <c r="G84" s="143"/>
      <c r="H84" s="143"/>
      <c r="I84" s="143"/>
      <c r="J84" s="143"/>
      <c r="K84" s="143"/>
      <c r="L84" s="144"/>
      <c r="M84" s="78"/>
    </row>
    <row r="85" spans="2:13" ht="8.25" customHeight="1" x14ac:dyDescent="0.3">
      <c r="B85" s="76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78"/>
    </row>
    <row r="86" spans="2:13" ht="14.4" customHeight="1" x14ac:dyDescent="0.3">
      <c r="B86" s="76"/>
      <c r="C86" s="6"/>
      <c r="D86" s="26"/>
      <c r="E86" s="141"/>
      <c r="F86" s="141"/>
      <c r="G86" s="141"/>
      <c r="H86" s="4"/>
      <c r="I86" s="141"/>
      <c r="J86" s="141"/>
      <c r="K86" s="141"/>
      <c r="L86" s="3"/>
      <c r="M86" s="78"/>
    </row>
    <row r="87" spans="2:13" ht="10.5" customHeight="1" x14ac:dyDescent="0.3">
      <c r="B87" s="76"/>
      <c r="C87" s="6"/>
      <c r="D87" s="26"/>
      <c r="E87" s="141"/>
      <c r="F87" s="141"/>
      <c r="G87" s="141"/>
      <c r="H87" s="4"/>
      <c r="I87" s="141"/>
      <c r="J87" s="141"/>
      <c r="K87" s="141"/>
      <c r="L87" s="3"/>
      <c r="M87" s="78"/>
    </row>
    <row r="88" spans="2:13" ht="22.5" customHeight="1" x14ac:dyDescent="0.3">
      <c r="B88" s="76"/>
      <c r="C88" s="6"/>
      <c r="D88" s="26"/>
      <c r="E88" s="141"/>
      <c r="F88" s="141"/>
      <c r="G88" s="141"/>
      <c r="H88" s="4"/>
      <c r="I88" s="141"/>
      <c r="J88" s="141"/>
      <c r="K88" s="141"/>
      <c r="L88" s="3"/>
      <c r="M88" s="78"/>
    </row>
    <row r="89" spans="2:13" ht="8.25" customHeight="1" x14ac:dyDescent="0.3">
      <c r="B89" s="76"/>
      <c r="C89" s="6"/>
      <c r="D89" s="26"/>
      <c r="E89" s="141"/>
      <c r="F89" s="141"/>
      <c r="G89" s="141"/>
      <c r="H89" s="4"/>
      <c r="I89" s="141"/>
      <c r="J89" s="141"/>
      <c r="K89" s="141"/>
      <c r="L89" s="3"/>
      <c r="M89" s="78"/>
    </row>
    <row r="90" spans="2:13" ht="2.25" customHeight="1" x14ac:dyDescent="0.3">
      <c r="B90" s="76"/>
      <c r="C90" s="6"/>
      <c r="D90" s="26"/>
      <c r="E90" s="65"/>
      <c r="F90" s="65"/>
      <c r="G90" s="65"/>
      <c r="H90" s="4"/>
      <c r="I90" s="65"/>
      <c r="J90" s="65"/>
      <c r="K90" s="65"/>
      <c r="L90" s="3"/>
      <c r="M90" s="78"/>
    </row>
    <row r="91" spans="2:13" ht="13.05" customHeight="1" x14ac:dyDescent="0.3">
      <c r="B91" s="76"/>
      <c r="C91" s="6"/>
      <c r="D91" s="26"/>
      <c r="E91" s="140"/>
      <c r="F91" s="140"/>
      <c r="G91" s="140"/>
      <c r="H91" s="66"/>
      <c r="I91" s="140"/>
      <c r="J91" s="140"/>
      <c r="K91" s="140"/>
      <c r="L91" s="3"/>
      <c r="M91" s="78"/>
    </row>
    <row r="92" spans="2:13" ht="11.7" customHeight="1" x14ac:dyDescent="0.3">
      <c r="B92" s="76"/>
      <c r="C92" s="6"/>
      <c r="D92" s="3"/>
      <c r="E92" s="130" t="s">
        <v>325</v>
      </c>
      <c r="F92" s="130"/>
      <c r="G92" s="130"/>
      <c r="H92" s="66"/>
      <c r="I92" s="130" t="s">
        <v>326</v>
      </c>
      <c r="J92" s="130"/>
      <c r="K92" s="130"/>
      <c r="L92" s="3"/>
      <c r="M92" s="78"/>
    </row>
    <row r="93" spans="2:13" x14ac:dyDescent="0.3">
      <c r="B93" s="76"/>
      <c r="C93" s="6"/>
      <c r="D93" s="3"/>
      <c r="E93" s="4"/>
      <c r="F93" s="4"/>
      <c r="G93" s="3"/>
      <c r="H93" s="4"/>
      <c r="I93" s="4"/>
      <c r="J93" s="5"/>
      <c r="K93" s="3"/>
      <c r="L93" s="3"/>
      <c r="M93" s="78"/>
    </row>
    <row r="94" spans="2:13" x14ac:dyDescent="0.3">
      <c r="B94" s="79"/>
      <c r="C94" s="80"/>
      <c r="D94" s="81"/>
      <c r="E94" s="82"/>
      <c r="F94" s="82"/>
      <c r="G94" s="81"/>
      <c r="H94" s="82"/>
      <c r="I94" s="82"/>
      <c r="J94" s="83"/>
      <c r="K94" s="81"/>
      <c r="L94" s="81"/>
      <c r="M94" s="84"/>
    </row>
  </sheetData>
  <sheetProtection algorithmName="SHA-512" hashValue="mTV3VnYDycGhzGl4dXkCB8TtIfX25hDZEy5OinvwfwW1RtZBPgrfXr0+m3zOSmxklIKCpPdROKs2o7cUbutRCw==" saltValue="W/WkHZ9Toue+HgwQ1KZZ0w==" spinCount="100000" sheet="1" objects="1" scenarios="1" selectLockedCells="1"/>
  <protectedRanges>
    <protectedRange sqref="C84:C85 I91:I92 E91:E92" name="Editables"/>
  </protectedRanges>
  <autoFilter ref="C11:L78" xr:uid="{00000000-0009-0000-0000-000000000000}">
    <filterColumn colId="0" showButton="0"/>
    <filterColumn colId="2" showButton="0"/>
    <filterColumn colId="5" showButton="0"/>
  </autoFilter>
  <sortState xmlns:xlrd2="http://schemas.microsoft.com/office/spreadsheetml/2017/richdata2" ref="D17:L44">
    <sortCondition ref="D17:D44"/>
  </sortState>
  <mergeCells count="34"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F9:H9"/>
    <mergeCell ref="D74:F78"/>
    <mergeCell ref="C70:C73"/>
    <mergeCell ref="C74:C78"/>
    <mergeCell ref="I92:K92"/>
    <mergeCell ref="J80:L80"/>
    <mergeCell ref="J81:L81"/>
    <mergeCell ref="C80:I80"/>
    <mergeCell ref="I91:K91"/>
    <mergeCell ref="I86:K89"/>
    <mergeCell ref="C84:L84"/>
    <mergeCell ref="C81:I81"/>
    <mergeCell ref="E91:G91"/>
    <mergeCell ref="E92:G92"/>
    <mergeCell ref="E86:G89"/>
    <mergeCell ref="C12:C16"/>
    <mergeCell ref="C17:C44"/>
    <mergeCell ref="C45:C55"/>
    <mergeCell ref="C56:C69"/>
    <mergeCell ref="H11:I11"/>
    <mergeCell ref="C11:D11"/>
    <mergeCell ref="E11:F11"/>
  </mergeCells>
  <phoneticPr fontId="4" type="noConversion"/>
  <conditionalFormatting sqref="F9">
    <cfRule type="cellIs" dxfId="10" priority="12" operator="equal">
      <formula>"-"</formula>
    </cfRule>
    <cfRule type="cellIs" dxfId="9" priority="13" operator="equal">
      <formula>"- "</formula>
    </cfRule>
  </conditionalFormatting>
  <conditionalFormatting sqref="L12:L74 L76 L78">
    <cfRule type="expression" dxfId="8" priority="9">
      <formula>AND(K12&lt;6,L12="")</formula>
    </cfRule>
  </conditionalFormatting>
  <conditionalFormatting sqref="J81">
    <cfRule type="expression" dxfId="7" priority="8">
      <formula>J80&lt;&gt;128</formula>
    </cfRule>
  </conditionalFormatting>
  <conditionalFormatting sqref="H12:I73">
    <cfRule type="expression" dxfId="6" priority="7">
      <formula>AND(H12="",G12=0)</formula>
    </cfRule>
  </conditionalFormatting>
  <conditionalFormatting sqref="G11:J74 G76:J76 G78:J78">
    <cfRule type="cellIs" dxfId="5" priority="6" operator="equal">
      <formula>0</formula>
    </cfRule>
  </conditionalFormatting>
  <conditionalFormatting sqref="K85:K95 K2:K74 K76 K78:K83">
    <cfRule type="cellIs" dxfId="4" priority="5" operator="lessThan">
      <formula>6</formula>
    </cfRule>
  </conditionalFormatting>
  <conditionalFormatting sqref="D79 D1:D75 D82:D83 D85:D1048576">
    <cfRule type="duplicateValues" dxfId="3" priority="4"/>
  </conditionalFormatting>
  <conditionalFormatting sqref="L75 L77">
    <cfRule type="expression" dxfId="2" priority="3">
      <formula>AND(K75&lt;6,L75="")</formula>
    </cfRule>
  </conditionalFormatting>
  <conditionalFormatting sqref="G75:J75 G77:J77">
    <cfRule type="cellIs" dxfId="1" priority="2" operator="equal">
      <formula>0</formula>
    </cfRule>
  </conditionalFormatting>
  <conditionalFormatting sqref="K75 K77">
    <cfRule type="cellIs" dxfId="0" priority="1" operator="lessThan">
      <formula>6</formula>
    </cfRule>
  </conditionalFormatting>
  <dataValidations count="6">
    <dataValidation allowBlank="1" showInputMessage="1" showErrorMessage="1" error="NO SE PUEDE MODIFICAR ESTA CELDA" sqref="C83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02" scale="5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J80:L81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185"/>
  <sheetViews>
    <sheetView topLeftCell="A55" workbookViewId="0">
      <selection activeCell="A163" sqref="A163"/>
    </sheetView>
  </sheetViews>
  <sheetFormatPr baseColWidth="10" defaultColWidth="11.44140625" defaultRowHeight="14.4" x14ac:dyDescent="0.3"/>
  <sheetData>
    <row r="1" spans="1:11" x14ac:dyDescent="0.3">
      <c r="A1" t="s">
        <v>339</v>
      </c>
      <c r="B1" t="s">
        <v>340</v>
      </c>
    </row>
    <row r="2" spans="1:11" x14ac:dyDescent="0.3">
      <c r="A2" t="s">
        <v>341</v>
      </c>
      <c r="B2" t="s">
        <v>342</v>
      </c>
    </row>
    <row r="3" spans="1:11" x14ac:dyDescent="0.3">
      <c r="A3" t="s">
        <v>343</v>
      </c>
      <c r="B3" t="s">
        <v>344</v>
      </c>
      <c r="D3" s="1"/>
      <c r="H3" s="1"/>
    </row>
    <row r="4" spans="1:11" x14ac:dyDescent="0.3">
      <c r="A4" t="s">
        <v>345</v>
      </c>
      <c r="B4" t="s">
        <v>346</v>
      </c>
    </row>
    <row r="5" spans="1:11" x14ac:dyDescent="0.3">
      <c r="A5" t="s">
        <v>347</v>
      </c>
      <c r="B5" t="s">
        <v>348</v>
      </c>
    </row>
    <row r="6" spans="1:11" x14ac:dyDescent="0.3">
      <c r="A6" t="s">
        <v>349</v>
      </c>
      <c r="B6" t="s">
        <v>350</v>
      </c>
    </row>
    <row r="7" spans="1:11" x14ac:dyDescent="0.3">
      <c r="A7" t="s">
        <v>351</v>
      </c>
      <c r="B7">
        <v>1501</v>
      </c>
    </row>
    <row r="9" spans="1:11" x14ac:dyDescent="0.3">
      <c r="A9" t="s">
        <v>352</v>
      </c>
    </row>
    <row r="11" spans="1:11" x14ac:dyDescent="0.3">
      <c r="A11" t="s">
        <v>353</v>
      </c>
      <c r="B11" t="s">
        <v>341</v>
      </c>
      <c r="C11" t="s">
        <v>354</v>
      </c>
      <c r="D11" t="s">
        <v>355</v>
      </c>
      <c r="E11" t="s">
        <v>356</v>
      </c>
      <c r="F11" t="s">
        <v>357</v>
      </c>
      <c r="G11" t="s">
        <v>358</v>
      </c>
      <c r="H11" t="s">
        <v>359</v>
      </c>
      <c r="I11" t="s">
        <v>360</v>
      </c>
      <c r="J11" t="s">
        <v>361</v>
      </c>
      <c r="K11" t="s">
        <v>362</v>
      </c>
    </row>
    <row r="12" spans="1:11" x14ac:dyDescent="0.3">
      <c r="A12">
        <v>1</v>
      </c>
      <c r="B12" t="s">
        <v>94</v>
      </c>
      <c r="C12" t="s">
        <v>363</v>
      </c>
      <c r="D12">
        <v>2</v>
      </c>
      <c r="E12" s="1">
        <v>8000</v>
      </c>
      <c r="F12" s="1">
        <v>9000</v>
      </c>
      <c r="G12" s="1" t="s">
        <v>364</v>
      </c>
      <c r="H12" t="s">
        <v>364</v>
      </c>
      <c r="I12" s="1">
        <v>8600</v>
      </c>
      <c r="J12" t="s">
        <v>364</v>
      </c>
      <c r="K12" s="1">
        <v>8600</v>
      </c>
    </row>
    <row r="13" spans="1:11" x14ac:dyDescent="0.3">
      <c r="A13">
        <v>2</v>
      </c>
      <c r="B13" t="s">
        <v>41</v>
      </c>
      <c r="C13" t="s">
        <v>365</v>
      </c>
      <c r="D13">
        <v>2</v>
      </c>
      <c r="E13" s="1">
        <v>10000</v>
      </c>
      <c r="F13" s="1">
        <v>10000</v>
      </c>
      <c r="G13" s="1" t="s">
        <v>364</v>
      </c>
      <c r="H13" t="s">
        <v>364</v>
      </c>
      <c r="I13" s="1">
        <v>10000</v>
      </c>
      <c r="J13" t="s">
        <v>364</v>
      </c>
      <c r="K13" s="1">
        <v>10000</v>
      </c>
    </row>
    <row r="14" spans="1:11" x14ac:dyDescent="0.3">
      <c r="A14">
        <v>3</v>
      </c>
      <c r="B14" t="s">
        <v>21</v>
      </c>
      <c r="C14" t="s">
        <v>366</v>
      </c>
      <c r="D14">
        <v>3</v>
      </c>
      <c r="E14" s="1">
        <v>9000</v>
      </c>
      <c r="F14" s="1">
        <v>8300</v>
      </c>
      <c r="G14" s="1" t="s">
        <v>364</v>
      </c>
      <c r="H14" t="s">
        <v>364</v>
      </c>
      <c r="I14" s="1">
        <v>8580</v>
      </c>
      <c r="J14" t="s">
        <v>364</v>
      </c>
      <c r="K14" s="1">
        <v>8580</v>
      </c>
    </row>
    <row r="15" spans="1:11" x14ac:dyDescent="0.3">
      <c r="A15">
        <v>4</v>
      </c>
      <c r="B15" t="s">
        <v>90</v>
      </c>
      <c r="C15" t="s">
        <v>367</v>
      </c>
      <c r="D15">
        <v>2</v>
      </c>
      <c r="E15" s="1">
        <v>8740</v>
      </c>
      <c r="F15" s="1">
        <v>9000</v>
      </c>
      <c r="G15" s="1">
        <v>9000</v>
      </c>
      <c r="H15" t="s">
        <v>364</v>
      </c>
      <c r="I15" s="1">
        <v>8935</v>
      </c>
      <c r="J15" t="s">
        <v>364</v>
      </c>
      <c r="K15" s="1">
        <v>8935</v>
      </c>
    </row>
    <row r="16" spans="1:11" x14ac:dyDescent="0.3">
      <c r="A16">
        <v>5</v>
      </c>
      <c r="B16" t="s">
        <v>152</v>
      </c>
      <c r="C16" t="s">
        <v>368</v>
      </c>
      <c r="D16">
        <v>1</v>
      </c>
      <c r="E16" s="1">
        <v>10000</v>
      </c>
      <c r="F16" s="1" t="s">
        <v>364</v>
      </c>
      <c r="G16" s="1" t="s">
        <v>364</v>
      </c>
      <c r="H16" t="s">
        <v>364</v>
      </c>
      <c r="I16" s="1">
        <v>10000</v>
      </c>
      <c r="J16" s="1" t="s">
        <v>364</v>
      </c>
      <c r="K16" s="1">
        <v>10000</v>
      </c>
    </row>
    <row r="17" spans="1:21" x14ac:dyDescent="0.3">
      <c r="A17">
        <v>6</v>
      </c>
      <c r="B17" t="s">
        <v>272</v>
      </c>
      <c r="C17" t="s">
        <v>369</v>
      </c>
      <c r="D17">
        <v>4</v>
      </c>
      <c r="E17" s="1">
        <v>9000</v>
      </c>
      <c r="F17" s="1">
        <v>9000</v>
      </c>
      <c r="G17" s="1" t="s">
        <v>364</v>
      </c>
      <c r="H17" s="1" t="s">
        <v>364</v>
      </c>
      <c r="I17" s="1">
        <v>9000</v>
      </c>
      <c r="J17" s="1" t="s">
        <v>364</v>
      </c>
      <c r="K17" s="1">
        <v>9000</v>
      </c>
      <c r="M17" s="1"/>
      <c r="R17" s="1"/>
    </row>
    <row r="18" spans="1:21" x14ac:dyDescent="0.3">
      <c r="A18">
        <v>7</v>
      </c>
      <c r="B18" t="s">
        <v>57</v>
      </c>
      <c r="C18" t="s">
        <v>370</v>
      </c>
      <c r="D18">
        <v>2</v>
      </c>
      <c r="E18" s="1">
        <v>8400</v>
      </c>
      <c r="F18" s="1">
        <v>7000</v>
      </c>
      <c r="G18" s="1" t="s">
        <v>364</v>
      </c>
      <c r="H18" s="1" t="s">
        <v>364</v>
      </c>
      <c r="I18" s="1">
        <v>7560</v>
      </c>
      <c r="J18" t="s">
        <v>364</v>
      </c>
      <c r="K18" s="1">
        <v>7560</v>
      </c>
      <c r="M18" s="1"/>
    </row>
    <row r="19" spans="1:21" x14ac:dyDescent="0.3">
      <c r="A19">
        <v>8</v>
      </c>
      <c r="B19" t="s">
        <v>66</v>
      </c>
      <c r="C19" t="s">
        <v>371</v>
      </c>
      <c r="D19">
        <v>1</v>
      </c>
      <c r="E19" s="1">
        <v>6000</v>
      </c>
      <c r="F19" s="1">
        <v>9000</v>
      </c>
      <c r="G19" s="1" t="s">
        <v>364</v>
      </c>
      <c r="H19" s="1" t="s">
        <v>364</v>
      </c>
      <c r="I19" s="1">
        <v>7800</v>
      </c>
      <c r="J19" s="1" t="s">
        <v>364</v>
      </c>
      <c r="K19" s="1">
        <v>7800</v>
      </c>
      <c r="M19" s="1"/>
    </row>
    <row r="20" spans="1:21" x14ac:dyDescent="0.3">
      <c r="E20" s="1"/>
      <c r="F20" s="1"/>
      <c r="G20" s="1"/>
      <c r="H20" s="1"/>
      <c r="I20" s="1"/>
      <c r="K20" s="1"/>
      <c r="L20" t="s">
        <v>372</v>
      </c>
      <c r="M20" s="1"/>
      <c r="P20" t="s">
        <v>373</v>
      </c>
    </row>
    <row r="21" spans="1:21" x14ac:dyDescent="0.3">
      <c r="E21" s="1"/>
      <c r="F21" s="1"/>
      <c r="G21" s="1"/>
      <c r="H21" s="1"/>
      <c r="I21" s="1"/>
      <c r="K21" s="1"/>
      <c r="L21" t="s">
        <v>374</v>
      </c>
      <c r="M21" s="1" t="s">
        <v>375</v>
      </c>
      <c r="N21" t="s">
        <v>376</v>
      </c>
      <c r="P21" t="s">
        <v>377</v>
      </c>
      <c r="Q21" t="s">
        <v>378</v>
      </c>
      <c r="R21" t="s">
        <v>379</v>
      </c>
    </row>
    <row r="22" spans="1:21" x14ac:dyDescent="0.3">
      <c r="A22" t="s">
        <v>380</v>
      </c>
      <c r="E22" s="1"/>
      <c r="G22" s="1"/>
      <c r="H22" s="1"/>
      <c r="I22" s="1"/>
      <c r="K22" s="1"/>
      <c r="L22" t="s">
        <v>381</v>
      </c>
      <c r="M22" s="1" t="s">
        <v>381</v>
      </c>
      <c r="N22" t="s">
        <v>382</v>
      </c>
      <c r="P22" t="s">
        <v>383</v>
      </c>
      <c r="Q22" t="s">
        <v>383</v>
      </c>
      <c r="R22" t="s">
        <v>382</v>
      </c>
    </row>
    <row r="23" spans="1:21" x14ac:dyDescent="0.3">
      <c r="A23" t="s">
        <v>384</v>
      </c>
      <c r="E23" s="1"/>
      <c r="G23" s="1"/>
      <c r="H23" s="1"/>
      <c r="I23" s="1"/>
      <c r="K23" s="1"/>
      <c r="L23" t="s">
        <v>385</v>
      </c>
      <c r="M23" s="1" t="s">
        <v>386</v>
      </c>
      <c r="N23" s="1" t="s">
        <v>387</v>
      </c>
      <c r="P23" t="s">
        <v>388</v>
      </c>
      <c r="Q23" t="s">
        <v>389</v>
      </c>
      <c r="R23" s="1" t="s">
        <v>390</v>
      </c>
      <c r="U23" s="1"/>
    </row>
    <row r="24" spans="1:21" x14ac:dyDescent="0.3">
      <c r="A24" t="s">
        <v>391</v>
      </c>
      <c r="E24" s="1"/>
      <c r="I24" s="1"/>
      <c r="K24" s="1"/>
      <c r="M24" t="s">
        <v>380</v>
      </c>
      <c r="N24" s="1">
        <v>8808</v>
      </c>
      <c r="Q24" t="s">
        <v>392</v>
      </c>
      <c r="R24" s="1">
        <v>8908</v>
      </c>
    </row>
    <row r="25" spans="1:21" x14ac:dyDescent="0.3">
      <c r="E25" s="1"/>
      <c r="I25" s="1"/>
      <c r="K25" s="1"/>
    </row>
    <row r="26" spans="1:21" x14ac:dyDescent="0.3">
      <c r="A26" t="s">
        <v>393</v>
      </c>
      <c r="E26" s="1"/>
      <c r="I26" s="1"/>
      <c r="K26" s="1"/>
      <c r="N26" s="1"/>
      <c r="R26" s="1"/>
    </row>
    <row r="27" spans="1:21" x14ac:dyDescent="0.3">
      <c r="E27" s="1"/>
      <c r="I27" s="1"/>
      <c r="K27" s="1"/>
    </row>
    <row r="28" spans="1:21" x14ac:dyDescent="0.3">
      <c r="A28" t="s">
        <v>353</v>
      </c>
      <c r="B28" t="s">
        <v>341</v>
      </c>
      <c r="C28" t="s">
        <v>354</v>
      </c>
      <c r="D28" t="s">
        <v>355</v>
      </c>
      <c r="E28" s="1" t="s">
        <v>356</v>
      </c>
      <c r="F28" s="1" t="s">
        <v>357</v>
      </c>
      <c r="G28" s="1" t="s">
        <v>358</v>
      </c>
      <c r="H28" s="1" t="s">
        <v>359</v>
      </c>
      <c r="I28" s="1" t="s">
        <v>360</v>
      </c>
      <c r="J28" t="s">
        <v>361</v>
      </c>
      <c r="K28" s="1" t="s">
        <v>362</v>
      </c>
      <c r="L28" s="1"/>
      <c r="N28" s="1"/>
      <c r="P28" s="1"/>
      <c r="T28" s="1"/>
    </row>
    <row r="29" spans="1:21" x14ac:dyDescent="0.3">
      <c r="A29">
        <v>1</v>
      </c>
      <c r="B29" t="s">
        <v>88</v>
      </c>
      <c r="C29" t="s">
        <v>394</v>
      </c>
      <c r="D29">
        <v>2</v>
      </c>
      <c r="E29" s="1">
        <v>8520</v>
      </c>
      <c r="F29" s="1">
        <v>8261</v>
      </c>
      <c r="G29" s="1" t="s">
        <v>364</v>
      </c>
      <c r="H29" s="1" t="s">
        <v>364</v>
      </c>
      <c r="I29" s="1">
        <v>8365</v>
      </c>
      <c r="J29" s="1" t="s">
        <v>364</v>
      </c>
      <c r="K29" s="1">
        <v>8365</v>
      </c>
      <c r="L29" s="1"/>
      <c r="N29" s="1"/>
    </row>
    <row r="30" spans="1:21" x14ac:dyDescent="0.3">
      <c r="A30">
        <v>2</v>
      </c>
      <c r="B30" t="s">
        <v>318</v>
      </c>
      <c r="C30" t="s">
        <v>395</v>
      </c>
      <c r="D30">
        <v>4</v>
      </c>
      <c r="E30" s="1">
        <v>9560</v>
      </c>
      <c r="F30" s="1" t="s">
        <v>364</v>
      </c>
      <c r="G30" s="1" t="s">
        <v>364</v>
      </c>
      <c r="H30" s="1" t="s">
        <v>364</v>
      </c>
      <c r="I30" s="1">
        <v>9560</v>
      </c>
      <c r="J30" t="s">
        <v>364</v>
      </c>
      <c r="K30" s="1">
        <v>9560</v>
      </c>
      <c r="L30" s="1"/>
      <c r="N30" s="1"/>
    </row>
    <row r="31" spans="1:21" x14ac:dyDescent="0.3">
      <c r="A31">
        <v>3</v>
      </c>
      <c r="B31" t="s">
        <v>319</v>
      </c>
      <c r="C31" t="s">
        <v>396</v>
      </c>
      <c r="D31">
        <v>1</v>
      </c>
      <c r="E31" s="1">
        <v>10000</v>
      </c>
      <c r="F31" s="1">
        <v>10000</v>
      </c>
      <c r="G31" s="1" t="s">
        <v>364</v>
      </c>
      <c r="H31" s="1" t="s">
        <v>364</v>
      </c>
      <c r="I31" s="1">
        <v>10000</v>
      </c>
      <c r="J31" t="s">
        <v>364</v>
      </c>
      <c r="K31" s="1">
        <v>10000</v>
      </c>
      <c r="L31" s="1"/>
      <c r="N31" s="1"/>
    </row>
    <row r="32" spans="1:21" x14ac:dyDescent="0.3">
      <c r="A32">
        <v>4</v>
      </c>
      <c r="B32" t="s">
        <v>322</v>
      </c>
      <c r="C32" t="s">
        <v>397</v>
      </c>
      <c r="D32">
        <v>1</v>
      </c>
      <c r="E32" s="1">
        <v>10000</v>
      </c>
      <c r="F32" s="1">
        <v>10000</v>
      </c>
      <c r="G32" s="1" t="s">
        <v>364</v>
      </c>
      <c r="H32" s="1" t="s">
        <v>364</v>
      </c>
      <c r="I32" s="1">
        <v>10000</v>
      </c>
      <c r="J32" t="s">
        <v>364</v>
      </c>
      <c r="K32" s="1">
        <v>10000</v>
      </c>
      <c r="L32" s="1"/>
      <c r="N32" s="1"/>
    </row>
    <row r="33" spans="1:21" x14ac:dyDescent="0.3">
      <c r="A33">
        <v>5</v>
      </c>
      <c r="B33" t="s">
        <v>60</v>
      </c>
      <c r="C33" t="s">
        <v>398</v>
      </c>
      <c r="D33">
        <v>2</v>
      </c>
      <c r="E33" s="1">
        <v>8000</v>
      </c>
      <c r="F33" s="1">
        <v>9700</v>
      </c>
      <c r="G33" s="1" t="s">
        <v>364</v>
      </c>
      <c r="H33" s="1" t="s">
        <v>364</v>
      </c>
      <c r="I33" s="1">
        <v>9020</v>
      </c>
      <c r="J33" s="1" t="s">
        <v>364</v>
      </c>
      <c r="K33" s="1">
        <v>9020</v>
      </c>
      <c r="L33" s="1"/>
      <c r="M33" s="1"/>
      <c r="N33" s="1"/>
    </row>
    <row r="34" spans="1:21" x14ac:dyDescent="0.3">
      <c r="A34">
        <v>6</v>
      </c>
      <c r="B34" t="s">
        <v>169</v>
      </c>
      <c r="C34" t="s">
        <v>399</v>
      </c>
      <c r="D34">
        <v>2</v>
      </c>
      <c r="E34" s="1">
        <v>7000</v>
      </c>
      <c r="F34" s="1">
        <v>9500</v>
      </c>
      <c r="G34" s="1" t="s">
        <v>364</v>
      </c>
      <c r="H34" s="1" t="s">
        <v>364</v>
      </c>
      <c r="I34" s="1">
        <v>8500</v>
      </c>
      <c r="J34" t="s">
        <v>364</v>
      </c>
      <c r="K34" s="1">
        <v>8500</v>
      </c>
      <c r="L34" s="1"/>
      <c r="M34" s="1"/>
      <c r="N34" s="1"/>
      <c r="R34" s="1"/>
    </row>
    <row r="35" spans="1:21" x14ac:dyDescent="0.3">
      <c r="A35">
        <v>7</v>
      </c>
      <c r="B35" t="s">
        <v>175</v>
      </c>
      <c r="C35" t="s">
        <v>400</v>
      </c>
      <c r="D35">
        <v>2</v>
      </c>
      <c r="E35" s="1">
        <v>9190</v>
      </c>
      <c r="F35" s="1">
        <v>9880</v>
      </c>
      <c r="G35" s="1" t="s">
        <v>364</v>
      </c>
      <c r="H35" s="1" t="s">
        <v>364</v>
      </c>
      <c r="I35" s="1">
        <v>9604</v>
      </c>
      <c r="J35" s="1" t="s">
        <v>364</v>
      </c>
      <c r="K35" s="1">
        <v>9604</v>
      </c>
      <c r="L35" s="1"/>
      <c r="M35" s="1"/>
      <c r="N35" s="1"/>
    </row>
    <row r="36" spans="1:21" x14ac:dyDescent="0.3">
      <c r="A36">
        <v>8</v>
      </c>
      <c r="B36" t="s">
        <v>138</v>
      </c>
      <c r="C36" t="s">
        <v>401</v>
      </c>
      <c r="D36">
        <v>2</v>
      </c>
      <c r="E36" s="1">
        <v>9710</v>
      </c>
      <c r="F36" s="1" t="s">
        <v>364</v>
      </c>
      <c r="G36" s="1" t="s">
        <v>364</v>
      </c>
      <c r="H36" s="1" t="s">
        <v>364</v>
      </c>
      <c r="I36" s="1">
        <v>9710</v>
      </c>
      <c r="J36" t="s">
        <v>364</v>
      </c>
      <c r="K36" s="1">
        <v>9710</v>
      </c>
      <c r="M36" s="1"/>
    </row>
    <row r="37" spans="1:21" x14ac:dyDescent="0.3">
      <c r="E37" s="1"/>
      <c r="G37" s="1"/>
      <c r="I37" s="1"/>
      <c r="K37" s="1"/>
      <c r="L37" t="s">
        <v>372</v>
      </c>
      <c r="M37" s="1"/>
      <c r="P37" t="s">
        <v>373</v>
      </c>
    </row>
    <row r="38" spans="1:21" x14ac:dyDescent="0.3">
      <c r="E38" s="1"/>
      <c r="G38" s="1"/>
      <c r="I38" s="1"/>
      <c r="K38" s="1"/>
      <c r="L38" t="s">
        <v>374</v>
      </c>
      <c r="M38" s="1" t="s">
        <v>375</v>
      </c>
      <c r="N38" t="s">
        <v>376</v>
      </c>
      <c r="P38" t="s">
        <v>377</v>
      </c>
      <c r="Q38" t="s">
        <v>378</v>
      </c>
      <c r="R38" t="s">
        <v>379</v>
      </c>
    </row>
    <row r="39" spans="1:21" x14ac:dyDescent="0.3">
      <c r="A39" t="s">
        <v>380</v>
      </c>
      <c r="G39" s="1"/>
      <c r="K39" s="1"/>
      <c r="L39" t="s">
        <v>381</v>
      </c>
      <c r="M39" s="1" t="s">
        <v>381</v>
      </c>
      <c r="N39" s="1" t="s">
        <v>382</v>
      </c>
      <c r="P39" t="s">
        <v>402</v>
      </c>
      <c r="Q39" t="s">
        <v>402</v>
      </c>
      <c r="R39" s="1" t="s">
        <v>382</v>
      </c>
    </row>
    <row r="40" spans="1:21" x14ac:dyDescent="0.3">
      <c r="A40" t="s">
        <v>384</v>
      </c>
      <c r="G40" s="1"/>
      <c r="K40" s="1"/>
      <c r="L40" t="s">
        <v>403</v>
      </c>
      <c r="M40" s="1" t="s">
        <v>404</v>
      </c>
      <c r="N40" s="1" t="s">
        <v>387</v>
      </c>
      <c r="P40" t="s">
        <v>405</v>
      </c>
      <c r="Q40" s="1" t="s">
        <v>406</v>
      </c>
      <c r="R40" s="1" t="s">
        <v>390</v>
      </c>
      <c r="U40" s="1"/>
    </row>
    <row r="41" spans="1:21" x14ac:dyDescent="0.3">
      <c r="A41" t="s">
        <v>391</v>
      </c>
      <c r="G41" s="1"/>
      <c r="K41" s="1"/>
      <c r="M41" s="1" t="s">
        <v>380</v>
      </c>
      <c r="N41" s="1">
        <v>9290</v>
      </c>
      <c r="Q41" t="s">
        <v>392</v>
      </c>
      <c r="R41" s="1">
        <v>8921</v>
      </c>
    </row>
    <row r="42" spans="1:21" x14ac:dyDescent="0.3">
      <c r="G42" s="1"/>
      <c r="K42" s="1"/>
      <c r="M42" s="1"/>
      <c r="N42" s="1"/>
      <c r="R42" s="1"/>
    </row>
    <row r="43" spans="1:21" x14ac:dyDescent="0.3">
      <c r="A43" t="s">
        <v>407</v>
      </c>
      <c r="N43" s="1"/>
      <c r="R43" s="1"/>
    </row>
    <row r="44" spans="1:21" x14ac:dyDescent="0.3">
      <c r="E44" s="1"/>
      <c r="F44" s="1"/>
      <c r="G44" s="1"/>
      <c r="I44" s="1"/>
      <c r="K44" s="1"/>
    </row>
    <row r="45" spans="1:21" x14ac:dyDescent="0.3">
      <c r="A45" t="s">
        <v>353</v>
      </c>
      <c r="B45" t="s">
        <v>341</v>
      </c>
      <c r="C45" t="s">
        <v>354</v>
      </c>
      <c r="D45" t="s">
        <v>355</v>
      </c>
      <c r="E45" s="1" t="s">
        <v>356</v>
      </c>
      <c r="F45" s="1" t="s">
        <v>357</v>
      </c>
      <c r="G45" s="1" t="s">
        <v>358</v>
      </c>
      <c r="H45" t="s">
        <v>359</v>
      </c>
      <c r="I45" s="1" t="s">
        <v>360</v>
      </c>
      <c r="J45" t="s">
        <v>361</v>
      </c>
      <c r="K45" s="1" t="s">
        <v>362</v>
      </c>
    </row>
    <row r="46" spans="1:21" x14ac:dyDescent="0.3">
      <c r="A46">
        <v>1</v>
      </c>
      <c r="B46" t="s">
        <v>27</v>
      </c>
      <c r="C46" t="s">
        <v>408</v>
      </c>
      <c r="D46">
        <v>2</v>
      </c>
      <c r="E46" s="1">
        <v>8500</v>
      </c>
      <c r="F46" s="1">
        <v>8500</v>
      </c>
      <c r="G46" s="1">
        <v>8500</v>
      </c>
      <c r="H46" t="s">
        <v>364</v>
      </c>
      <c r="I46" s="1">
        <v>8500</v>
      </c>
      <c r="J46" t="s">
        <v>364</v>
      </c>
      <c r="K46" s="1">
        <v>8500</v>
      </c>
    </row>
    <row r="47" spans="1:21" x14ac:dyDescent="0.3">
      <c r="A47">
        <v>2</v>
      </c>
      <c r="B47" t="s">
        <v>51</v>
      </c>
      <c r="C47" t="s">
        <v>409</v>
      </c>
      <c r="D47">
        <v>2</v>
      </c>
      <c r="E47" s="1">
        <v>10000</v>
      </c>
      <c r="F47" s="1">
        <v>9500</v>
      </c>
      <c r="G47" s="1">
        <v>9750</v>
      </c>
      <c r="H47" t="s">
        <v>364</v>
      </c>
      <c r="I47" s="1">
        <v>9750</v>
      </c>
      <c r="J47" t="s">
        <v>364</v>
      </c>
      <c r="K47" s="1">
        <v>9750</v>
      </c>
      <c r="P47" s="1"/>
      <c r="T47" s="1"/>
    </row>
    <row r="48" spans="1:21" x14ac:dyDescent="0.3">
      <c r="A48">
        <v>3</v>
      </c>
      <c r="B48" t="s">
        <v>212</v>
      </c>
      <c r="C48" t="s">
        <v>410</v>
      </c>
      <c r="D48">
        <v>1</v>
      </c>
      <c r="E48" s="1">
        <v>9900</v>
      </c>
      <c r="F48" s="1">
        <v>9600</v>
      </c>
      <c r="G48" s="1">
        <v>9400</v>
      </c>
      <c r="H48" t="s">
        <v>364</v>
      </c>
      <c r="I48" s="1">
        <v>9610</v>
      </c>
      <c r="J48" t="s">
        <v>364</v>
      </c>
      <c r="K48" s="1">
        <v>9610</v>
      </c>
    </row>
    <row r="49" spans="1:20" x14ac:dyDescent="0.3">
      <c r="A49">
        <v>4</v>
      </c>
      <c r="B49" t="s">
        <v>47</v>
      </c>
      <c r="C49" t="s">
        <v>411</v>
      </c>
      <c r="D49">
        <v>2</v>
      </c>
      <c r="E49" s="1">
        <v>9800</v>
      </c>
      <c r="F49" s="1">
        <v>9800</v>
      </c>
      <c r="G49" s="1">
        <v>10000</v>
      </c>
      <c r="H49" t="s">
        <v>364</v>
      </c>
      <c r="I49" s="1">
        <v>9880</v>
      </c>
      <c r="J49" s="1" t="s">
        <v>364</v>
      </c>
      <c r="K49" s="1">
        <v>9880</v>
      </c>
    </row>
    <row r="50" spans="1:20" x14ac:dyDescent="0.3">
      <c r="A50">
        <v>5</v>
      </c>
      <c r="B50" t="s">
        <v>92</v>
      </c>
      <c r="C50" t="s">
        <v>412</v>
      </c>
      <c r="D50">
        <v>1</v>
      </c>
      <c r="E50" s="1">
        <v>9306</v>
      </c>
      <c r="F50" s="1" t="s">
        <v>364</v>
      </c>
      <c r="G50" s="1" t="s">
        <v>364</v>
      </c>
      <c r="H50" t="s">
        <v>364</v>
      </c>
      <c r="I50" s="1">
        <v>9306</v>
      </c>
      <c r="J50" t="s">
        <v>364</v>
      </c>
      <c r="K50" s="1">
        <v>9306</v>
      </c>
    </row>
    <row r="51" spans="1:20" x14ac:dyDescent="0.3">
      <c r="A51">
        <v>6</v>
      </c>
      <c r="B51" t="s">
        <v>55</v>
      </c>
      <c r="C51" t="s">
        <v>413</v>
      </c>
      <c r="D51">
        <v>2</v>
      </c>
      <c r="E51" s="1">
        <v>9500</v>
      </c>
      <c r="F51" s="1">
        <v>9000</v>
      </c>
      <c r="G51" s="1">
        <v>8400</v>
      </c>
      <c r="H51" t="s">
        <v>364</v>
      </c>
      <c r="I51" s="1">
        <v>8910</v>
      </c>
      <c r="J51" t="s">
        <v>364</v>
      </c>
      <c r="K51" s="1">
        <v>8910</v>
      </c>
    </row>
    <row r="52" spans="1:20" x14ac:dyDescent="0.3">
      <c r="A52">
        <v>7</v>
      </c>
      <c r="B52" t="s">
        <v>29</v>
      </c>
      <c r="C52" t="s">
        <v>414</v>
      </c>
      <c r="D52">
        <v>2</v>
      </c>
      <c r="E52" s="1">
        <v>9500</v>
      </c>
      <c r="F52" s="1">
        <v>10000</v>
      </c>
      <c r="G52" s="1">
        <v>9750</v>
      </c>
      <c r="H52" s="1" t="s">
        <v>364</v>
      </c>
      <c r="I52" s="1">
        <v>9750</v>
      </c>
      <c r="J52" t="s">
        <v>364</v>
      </c>
      <c r="K52" s="1">
        <v>9750</v>
      </c>
      <c r="M52" s="1"/>
    </row>
    <row r="53" spans="1:20" x14ac:dyDescent="0.3">
      <c r="A53">
        <v>8</v>
      </c>
      <c r="B53" t="s">
        <v>53</v>
      </c>
      <c r="C53" t="s">
        <v>415</v>
      </c>
      <c r="D53">
        <v>2</v>
      </c>
      <c r="E53" s="1">
        <v>10000</v>
      </c>
      <c r="F53" s="1">
        <v>10000</v>
      </c>
      <c r="G53" s="1">
        <v>10000</v>
      </c>
      <c r="H53" s="1" t="s">
        <v>364</v>
      </c>
      <c r="I53" s="1">
        <v>10000</v>
      </c>
      <c r="J53" t="s">
        <v>364</v>
      </c>
      <c r="K53" s="1">
        <v>10000</v>
      </c>
      <c r="M53" s="1"/>
    </row>
    <row r="54" spans="1:20" x14ac:dyDescent="0.3">
      <c r="A54">
        <v>9</v>
      </c>
      <c r="B54" t="s">
        <v>123</v>
      </c>
      <c r="C54" t="s">
        <v>416</v>
      </c>
      <c r="D54">
        <v>1</v>
      </c>
      <c r="E54" s="1">
        <v>8110</v>
      </c>
      <c r="F54" s="1">
        <v>8000</v>
      </c>
      <c r="G54" s="1">
        <v>8500</v>
      </c>
      <c r="H54" s="1" t="s">
        <v>364</v>
      </c>
      <c r="I54" s="1">
        <v>8233</v>
      </c>
      <c r="J54" t="s">
        <v>364</v>
      </c>
      <c r="K54" s="1">
        <v>8233</v>
      </c>
      <c r="L54" s="1"/>
      <c r="M54" s="1"/>
    </row>
    <row r="55" spans="1:20" x14ac:dyDescent="0.3">
      <c r="A55">
        <v>10</v>
      </c>
      <c r="B55" t="s">
        <v>33</v>
      </c>
      <c r="C55" t="s">
        <v>417</v>
      </c>
      <c r="D55">
        <v>3</v>
      </c>
      <c r="E55" s="1">
        <v>10000</v>
      </c>
      <c r="F55" s="1">
        <v>8500</v>
      </c>
      <c r="G55" s="1">
        <v>10000</v>
      </c>
      <c r="H55" s="1" t="s">
        <v>364</v>
      </c>
      <c r="I55" s="1">
        <v>9550</v>
      </c>
      <c r="J55" t="s">
        <v>364</v>
      </c>
      <c r="K55" s="1">
        <v>9550</v>
      </c>
      <c r="M55" s="1"/>
    </row>
    <row r="56" spans="1:20" x14ac:dyDescent="0.3">
      <c r="A56">
        <v>11</v>
      </c>
      <c r="B56" t="s">
        <v>37</v>
      </c>
      <c r="C56" t="s">
        <v>418</v>
      </c>
      <c r="D56">
        <v>3</v>
      </c>
      <c r="E56" s="1">
        <v>7900</v>
      </c>
      <c r="F56" s="1">
        <v>7900</v>
      </c>
      <c r="G56" s="1">
        <v>7900</v>
      </c>
      <c r="H56" s="1" t="s">
        <v>364</v>
      </c>
      <c r="I56" s="1">
        <v>7900</v>
      </c>
      <c r="J56" t="s">
        <v>364</v>
      </c>
      <c r="K56" s="1">
        <v>7900</v>
      </c>
      <c r="M56" s="1"/>
    </row>
    <row r="57" spans="1:20" x14ac:dyDescent="0.3">
      <c r="G57" s="1"/>
      <c r="H57" s="1"/>
      <c r="I57" s="1"/>
      <c r="K57" s="1"/>
      <c r="L57" t="s">
        <v>372</v>
      </c>
      <c r="M57" s="1"/>
      <c r="N57" s="1"/>
      <c r="P57" t="s">
        <v>373</v>
      </c>
      <c r="R57" s="1"/>
    </row>
    <row r="58" spans="1:20" x14ac:dyDescent="0.3">
      <c r="G58" s="1"/>
      <c r="H58" s="1"/>
      <c r="I58" s="1"/>
      <c r="K58" s="1"/>
      <c r="L58" t="s">
        <v>374</v>
      </c>
      <c r="M58" s="1" t="s">
        <v>375</v>
      </c>
      <c r="N58" s="1" t="s">
        <v>376</v>
      </c>
      <c r="P58" t="s">
        <v>377</v>
      </c>
      <c r="Q58" t="s">
        <v>378</v>
      </c>
      <c r="R58" s="1" t="s">
        <v>379</v>
      </c>
    </row>
    <row r="59" spans="1:20" x14ac:dyDescent="0.3">
      <c r="A59" t="s">
        <v>380</v>
      </c>
      <c r="G59" s="1"/>
      <c r="H59" s="1"/>
      <c r="I59" s="1"/>
      <c r="K59" s="1"/>
      <c r="L59" t="s">
        <v>419</v>
      </c>
      <c r="M59" s="1" t="s">
        <v>419</v>
      </c>
      <c r="N59" s="1" t="s">
        <v>382</v>
      </c>
      <c r="P59" t="s">
        <v>420</v>
      </c>
      <c r="Q59" t="s">
        <v>420</v>
      </c>
      <c r="R59" s="1" t="s">
        <v>382</v>
      </c>
    </row>
    <row r="60" spans="1:20" x14ac:dyDescent="0.3">
      <c r="A60" t="s">
        <v>384</v>
      </c>
      <c r="L60" t="s">
        <v>421</v>
      </c>
      <c r="M60" t="s">
        <v>422</v>
      </c>
      <c r="N60" s="1" t="s">
        <v>387</v>
      </c>
      <c r="P60" t="s">
        <v>423</v>
      </c>
      <c r="Q60" t="s">
        <v>424</v>
      </c>
      <c r="R60" s="1" t="s">
        <v>390</v>
      </c>
    </row>
    <row r="61" spans="1:20" x14ac:dyDescent="0.3">
      <c r="A61" t="s">
        <v>391</v>
      </c>
      <c r="M61" t="s">
        <v>380</v>
      </c>
      <c r="N61" s="1">
        <v>9194</v>
      </c>
      <c r="Q61" t="s">
        <v>392</v>
      </c>
      <c r="R61" s="1">
        <v>8870</v>
      </c>
    </row>
    <row r="62" spans="1:20" x14ac:dyDescent="0.3">
      <c r="E62" s="1"/>
      <c r="F62" s="1"/>
      <c r="G62" s="1"/>
      <c r="I62" s="1"/>
      <c r="K62" s="1"/>
    </row>
    <row r="63" spans="1:20" x14ac:dyDescent="0.3">
      <c r="A63" t="s">
        <v>425</v>
      </c>
      <c r="E63" s="1"/>
      <c r="F63" s="1"/>
      <c r="G63" s="1"/>
      <c r="I63" s="1"/>
      <c r="K63" s="1"/>
    </row>
    <row r="64" spans="1:20" x14ac:dyDescent="0.3">
      <c r="E64" s="1"/>
      <c r="F64" s="1"/>
      <c r="G64" s="1"/>
      <c r="I64" s="1"/>
      <c r="J64" s="1"/>
      <c r="K64" s="1"/>
      <c r="P64" s="1"/>
      <c r="T64" s="1"/>
    </row>
    <row r="65" spans="1:20" x14ac:dyDescent="0.3">
      <c r="A65" t="s">
        <v>353</v>
      </c>
      <c r="B65" t="s">
        <v>341</v>
      </c>
      <c r="C65" t="s">
        <v>354</v>
      </c>
      <c r="D65" t="s">
        <v>355</v>
      </c>
      <c r="E65" s="1" t="s">
        <v>356</v>
      </c>
      <c r="F65" s="1" t="s">
        <v>357</v>
      </c>
      <c r="G65" s="1" t="s">
        <v>358</v>
      </c>
      <c r="H65" t="s">
        <v>359</v>
      </c>
      <c r="I65" s="1" t="s">
        <v>360</v>
      </c>
      <c r="J65" s="1" t="s">
        <v>361</v>
      </c>
      <c r="K65" s="1" t="s">
        <v>362</v>
      </c>
    </row>
    <row r="66" spans="1:20" x14ac:dyDescent="0.3">
      <c r="A66">
        <v>1</v>
      </c>
      <c r="B66" t="s">
        <v>153</v>
      </c>
      <c r="C66" t="s">
        <v>426</v>
      </c>
      <c r="D66">
        <v>2</v>
      </c>
      <c r="E66" s="1">
        <v>8500</v>
      </c>
      <c r="F66" s="1">
        <v>10000</v>
      </c>
      <c r="G66" s="1">
        <v>9600</v>
      </c>
      <c r="H66" t="s">
        <v>364</v>
      </c>
      <c r="I66" s="1">
        <v>9390</v>
      </c>
      <c r="J66" t="s">
        <v>364</v>
      </c>
      <c r="K66" s="1">
        <v>9390</v>
      </c>
    </row>
    <row r="67" spans="1:20" x14ac:dyDescent="0.3">
      <c r="A67">
        <v>2</v>
      </c>
      <c r="B67" t="s">
        <v>190</v>
      </c>
      <c r="C67" t="s">
        <v>426</v>
      </c>
      <c r="D67">
        <v>3</v>
      </c>
      <c r="E67" s="1">
        <v>9600</v>
      </c>
      <c r="F67" s="1">
        <v>9800</v>
      </c>
      <c r="G67" s="1">
        <v>9600</v>
      </c>
      <c r="H67" t="s">
        <v>364</v>
      </c>
      <c r="I67" s="1">
        <v>9660</v>
      </c>
      <c r="J67" t="s">
        <v>364</v>
      </c>
      <c r="K67" s="1">
        <v>9660</v>
      </c>
    </row>
    <row r="68" spans="1:20" x14ac:dyDescent="0.3">
      <c r="A68">
        <v>3</v>
      </c>
      <c r="B68" t="s">
        <v>64</v>
      </c>
      <c r="C68" t="s">
        <v>427</v>
      </c>
      <c r="D68">
        <v>1</v>
      </c>
      <c r="E68" s="1">
        <v>10000</v>
      </c>
      <c r="F68" s="1">
        <v>10000</v>
      </c>
      <c r="G68" s="1">
        <v>10000</v>
      </c>
      <c r="H68" t="s">
        <v>364</v>
      </c>
      <c r="I68" s="1">
        <v>10000</v>
      </c>
      <c r="J68" t="s">
        <v>364</v>
      </c>
      <c r="K68" s="1">
        <v>10000</v>
      </c>
    </row>
    <row r="69" spans="1:20" x14ac:dyDescent="0.3">
      <c r="A69">
        <v>4</v>
      </c>
      <c r="B69" t="s">
        <v>24</v>
      </c>
      <c r="C69" t="s">
        <v>428</v>
      </c>
      <c r="D69">
        <v>1</v>
      </c>
      <c r="E69" s="1">
        <v>8500</v>
      </c>
      <c r="F69" s="1">
        <v>8900</v>
      </c>
      <c r="G69" s="1">
        <v>8600</v>
      </c>
      <c r="H69" s="1" t="s">
        <v>364</v>
      </c>
      <c r="I69" s="1">
        <v>8660</v>
      </c>
      <c r="J69" t="s">
        <v>364</v>
      </c>
      <c r="K69" s="1">
        <v>8660</v>
      </c>
      <c r="M69" s="1"/>
    </row>
    <row r="70" spans="1:20" x14ac:dyDescent="0.3">
      <c r="A70">
        <v>5</v>
      </c>
      <c r="B70" t="s">
        <v>86</v>
      </c>
      <c r="C70" t="s">
        <v>429</v>
      </c>
      <c r="D70">
        <v>2</v>
      </c>
      <c r="E70" s="1">
        <v>6400</v>
      </c>
      <c r="F70" s="1">
        <v>7200</v>
      </c>
      <c r="G70" s="1">
        <v>5700</v>
      </c>
      <c r="H70" s="1" t="s">
        <v>364</v>
      </c>
      <c r="I70" s="1">
        <v>6250</v>
      </c>
      <c r="J70" t="s">
        <v>364</v>
      </c>
      <c r="K70" s="1">
        <v>6250</v>
      </c>
      <c r="M70" s="1"/>
    </row>
    <row r="71" spans="1:20" x14ac:dyDescent="0.3">
      <c r="A71">
        <v>6</v>
      </c>
      <c r="B71" t="s">
        <v>101</v>
      </c>
      <c r="C71" t="s">
        <v>430</v>
      </c>
      <c r="D71">
        <v>1</v>
      </c>
      <c r="E71" s="1">
        <v>8700</v>
      </c>
      <c r="F71" s="1">
        <v>8500</v>
      </c>
      <c r="G71" s="1">
        <v>9000</v>
      </c>
      <c r="H71" s="1" t="s">
        <v>364</v>
      </c>
      <c r="I71" s="1">
        <v>8760</v>
      </c>
      <c r="J71" t="s">
        <v>364</v>
      </c>
      <c r="K71" s="1">
        <v>8760</v>
      </c>
      <c r="M71" s="1"/>
    </row>
    <row r="72" spans="1:20" x14ac:dyDescent="0.3">
      <c r="A72">
        <v>7</v>
      </c>
      <c r="B72" t="s">
        <v>272</v>
      </c>
      <c r="C72" t="s">
        <v>369</v>
      </c>
      <c r="D72">
        <v>4</v>
      </c>
      <c r="E72" s="1">
        <v>9400</v>
      </c>
      <c r="F72" s="1">
        <v>8500</v>
      </c>
      <c r="G72" s="1">
        <v>8300</v>
      </c>
      <c r="H72" s="1" t="s">
        <v>364</v>
      </c>
      <c r="I72" s="1">
        <v>8690</v>
      </c>
      <c r="J72" t="s">
        <v>364</v>
      </c>
      <c r="K72" s="1">
        <v>8690</v>
      </c>
      <c r="M72" s="1"/>
    </row>
    <row r="73" spans="1:20" x14ac:dyDescent="0.3">
      <c r="A73">
        <v>8</v>
      </c>
      <c r="B73" t="s">
        <v>293</v>
      </c>
      <c r="C73" t="s">
        <v>431</v>
      </c>
      <c r="D73">
        <v>4</v>
      </c>
      <c r="E73" s="1">
        <v>10000</v>
      </c>
      <c r="F73" s="1">
        <v>9800</v>
      </c>
      <c r="G73" s="1">
        <v>9000</v>
      </c>
      <c r="H73" s="1" t="s">
        <v>364</v>
      </c>
      <c r="I73" s="1">
        <v>9540</v>
      </c>
      <c r="J73" t="s">
        <v>364</v>
      </c>
      <c r="K73" s="1">
        <v>9540</v>
      </c>
      <c r="M73" s="1"/>
      <c r="N73" s="1"/>
      <c r="R73" s="1"/>
    </row>
    <row r="74" spans="1:20" x14ac:dyDescent="0.3">
      <c r="A74">
        <v>9</v>
      </c>
      <c r="B74" t="s">
        <v>297</v>
      </c>
      <c r="C74" t="s">
        <v>432</v>
      </c>
      <c r="D74">
        <v>2</v>
      </c>
      <c r="E74" s="1">
        <v>10000</v>
      </c>
      <c r="F74" s="1">
        <v>9700</v>
      </c>
      <c r="G74" s="1">
        <v>4400</v>
      </c>
      <c r="H74" s="1" t="s">
        <v>364</v>
      </c>
      <c r="I74" s="1">
        <v>7670</v>
      </c>
      <c r="J74" t="s">
        <v>364</v>
      </c>
      <c r="K74" s="1">
        <v>7670</v>
      </c>
      <c r="M74" s="1"/>
    </row>
    <row r="75" spans="1:20" x14ac:dyDescent="0.3">
      <c r="E75" s="1"/>
      <c r="F75" s="1"/>
      <c r="G75" s="1"/>
      <c r="H75" s="1"/>
      <c r="I75" s="1"/>
      <c r="K75" s="1"/>
      <c r="L75" t="s">
        <v>372</v>
      </c>
      <c r="M75" s="1"/>
      <c r="N75" s="1"/>
      <c r="P75" t="s">
        <v>373</v>
      </c>
      <c r="R75" s="1"/>
    </row>
    <row r="76" spans="1:20" x14ac:dyDescent="0.3">
      <c r="L76" t="s">
        <v>374</v>
      </c>
      <c r="M76" t="s">
        <v>375</v>
      </c>
      <c r="N76" s="1" t="s">
        <v>376</v>
      </c>
      <c r="P76" t="s">
        <v>377</v>
      </c>
      <c r="Q76" t="s">
        <v>378</v>
      </c>
      <c r="R76" s="1" t="s">
        <v>379</v>
      </c>
    </row>
    <row r="77" spans="1:20" x14ac:dyDescent="0.3">
      <c r="A77" t="s">
        <v>380</v>
      </c>
      <c r="L77" t="s">
        <v>433</v>
      </c>
      <c r="M77" t="s">
        <v>433</v>
      </c>
      <c r="N77" s="1" t="s">
        <v>382</v>
      </c>
      <c r="P77" t="s">
        <v>434</v>
      </c>
      <c r="Q77" t="s">
        <v>434</v>
      </c>
      <c r="R77" s="1" t="s">
        <v>382</v>
      </c>
    </row>
    <row r="78" spans="1:20" x14ac:dyDescent="0.3">
      <c r="A78" t="s">
        <v>384</v>
      </c>
      <c r="E78" s="1"/>
      <c r="F78" s="1"/>
      <c r="G78" s="1"/>
      <c r="I78" s="1"/>
      <c r="K78" s="1"/>
      <c r="L78" t="s">
        <v>435</v>
      </c>
      <c r="M78" t="s">
        <v>436</v>
      </c>
      <c r="N78" s="1" t="s">
        <v>387</v>
      </c>
      <c r="P78" t="s">
        <v>437</v>
      </c>
      <c r="Q78" t="s">
        <v>438</v>
      </c>
      <c r="R78" s="1" t="s">
        <v>390</v>
      </c>
    </row>
    <row r="79" spans="1:20" x14ac:dyDescent="0.3">
      <c r="A79" t="s">
        <v>391</v>
      </c>
      <c r="E79" s="1"/>
      <c r="F79" s="1"/>
      <c r="G79" s="1"/>
      <c r="I79" s="1"/>
      <c r="K79" s="1"/>
      <c r="M79" t="s">
        <v>380</v>
      </c>
      <c r="N79" s="1">
        <v>8797</v>
      </c>
      <c r="Q79" t="s">
        <v>392</v>
      </c>
      <c r="R79" s="1">
        <v>8799</v>
      </c>
    </row>
    <row r="80" spans="1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1:18" x14ac:dyDescent="0.3">
      <c r="A81" t="s">
        <v>439</v>
      </c>
      <c r="E81" s="1"/>
      <c r="F81" s="1"/>
      <c r="G81" s="1"/>
      <c r="I81" s="1"/>
      <c r="K81" s="1"/>
    </row>
    <row r="82" spans="1:18" x14ac:dyDescent="0.3">
      <c r="E82" s="1"/>
      <c r="F82" s="1"/>
      <c r="G82" s="1"/>
      <c r="I82" s="1"/>
      <c r="K82" s="1"/>
    </row>
    <row r="83" spans="1:18" x14ac:dyDescent="0.3">
      <c r="A83" t="s">
        <v>353</v>
      </c>
      <c r="B83" t="s">
        <v>341</v>
      </c>
      <c r="C83" t="s">
        <v>354</v>
      </c>
      <c r="D83" t="s">
        <v>355</v>
      </c>
      <c r="E83" s="1" t="s">
        <v>356</v>
      </c>
      <c r="F83" s="1" t="s">
        <v>357</v>
      </c>
      <c r="G83" s="1" t="s">
        <v>358</v>
      </c>
      <c r="H83" t="s">
        <v>359</v>
      </c>
      <c r="I83" s="1" t="s">
        <v>360</v>
      </c>
      <c r="J83" t="s">
        <v>361</v>
      </c>
      <c r="K83" s="1" t="s">
        <v>362</v>
      </c>
    </row>
    <row r="84" spans="1:18" x14ac:dyDescent="0.3">
      <c r="A84">
        <v>1</v>
      </c>
      <c r="B84" t="s">
        <v>317</v>
      </c>
      <c r="C84" t="s">
        <v>440</v>
      </c>
      <c r="D84">
        <v>4</v>
      </c>
      <c r="E84" s="1">
        <v>9770</v>
      </c>
      <c r="F84" s="1" t="s">
        <v>364</v>
      </c>
      <c r="G84" s="1" t="s">
        <v>364</v>
      </c>
      <c r="H84" t="s">
        <v>364</v>
      </c>
      <c r="I84" s="1">
        <v>9770</v>
      </c>
      <c r="J84" s="1" t="s">
        <v>364</v>
      </c>
      <c r="K84" s="1">
        <v>9770</v>
      </c>
    </row>
    <row r="85" spans="1:18" x14ac:dyDescent="0.3">
      <c r="A85">
        <v>2</v>
      </c>
      <c r="B85" t="s">
        <v>207</v>
      </c>
      <c r="C85" t="s">
        <v>441</v>
      </c>
      <c r="D85">
        <v>3</v>
      </c>
      <c r="E85" s="1">
        <v>7500</v>
      </c>
      <c r="F85" s="1">
        <v>7600</v>
      </c>
      <c r="G85" s="1" t="s">
        <v>364</v>
      </c>
      <c r="H85" s="1" t="s">
        <v>364</v>
      </c>
      <c r="I85" s="1">
        <v>7560</v>
      </c>
      <c r="J85" s="1" t="s">
        <v>364</v>
      </c>
      <c r="K85" s="1">
        <v>7560</v>
      </c>
      <c r="L85" s="1"/>
      <c r="M85" s="1"/>
    </row>
    <row r="86" spans="1:18" x14ac:dyDescent="0.3">
      <c r="A86">
        <v>3</v>
      </c>
      <c r="B86" t="s">
        <v>265</v>
      </c>
      <c r="C86" t="s">
        <v>442</v>
      </c>
      <c r="D86">
        <v>2</v>
      </c>
      <c r="E86" s="1">
        <v>9050</v>
      </c>
      <c r="F86" s="1">
        <v>9470</v>
      </c>
      <c r="G86" s="1" t="s">
        <v>364</v>
      </c>
      <c r="H86" s="1" t="s">
        <v>364</v>
      </c>
      <c r="I86" s="1">
        <v>9302</v>
      </c>
      <c r="J86" s="1" t="s">
        <v>364</v>
      </c>
      <c r="K86" s="1">
        <v>9302</v>
      </c>
      <c r="M86" s="1"/>
    </row>
    <row r="87" spans="1:18" x14ac:dyDescent="0.3">
      <c r="A87">
        <v>4</v>
      </c>
      <c r="B87" t="s">
        <v>158</v>
      </c>
      <c r="C87" t="s">
        <v>443</v>
      </c>
      <c r="D87">
        <v>2</v>
      </c>
      <c r="E87" s="1">
        <v>8100</v>
      </c>
      <c r="F87" s="1">
        <v>9500</v>
      </c>
      <c r="G87" s="1" t="s">
        <v>364</v>
      </c>
      <c r="H87" s="1" t="s">
        <v>364</v>
      </c>
      <c r="I87" s="1">
        <v>8940</v>
      </c>
      <c r="J87" t="s">
        <v>364</v>
      </c>
      <c r="K87" s="1">
        <v>8940</v>
      </c>
      <c r="M87" s="1"/>
    </row>
    <row r="88" spans="1:18" x14ac:dyDescent="0.3">
      <c r="A88">
        <v>5</v>
      </c>
      <c r="B88" t="s">
        <v>151</v>
      </c>
      <c r="C88" t="s">
        <v>444</v>
      </c>
      <c r="D88">
        <v>1</v>
      </c>
      <c r="E88" s="1">
        <v>9500</v>
      </c>
      <c r="F88" s="1">
        <v>9200</v>
      </c>
      <c r="G88" s="1" t="s">
        <v>364</v>
      </c>
      <c r="H88" s="1" t="s">
        <v>364</v>
      </c>
      <c r="I88" s="1">
        <v>9320</v>
      </c>
      <c r="J88" t="s">
        <v>364</v>
      </c>
      <c r="K88" s="1">
        <v>9320</v>
      </c>
      <c r="M88" s="1"/>
    </row>
    <row r="89" spans="1:18" x14ac:dyDescent="0.3">
      <c r="A89">
        <v>6</v>
      </c>
      <c r="B89" t="s">
        <v>84</v>
      </c>
      <c r="C89" t="s">
        <v>445</v>
      </c>
      <c r="D89">
        <v>2</v>
      </c>
      <c r="E89" s="1">
        <v>8010</v>
      </c>
      <c r="F89" s="1">
        <v>8760</v>
      </c>
      <c r="G89" s="1">
        <v>7040</v>
      </c>
      <c r="H89" t="s">
        <v>364</v>
      </c>
      <c r="I89" s="1">
        <v>7713</v>
      </c>
      <c r="J89" t="s">
        <v>364</v>
      </c>
      <c r="K89" s="1">
        <v>7713</v>
      </c>
      <c r="M89" s="1"/>
    </row>
    <row r="90" spans="1:18" x14ac:dyDescent="0.3">
      <c r="A90">
        <v>7</v>
      </c>
      <c r="B90" t="s">
        <v>99</v>
      </c>
      <c r="C90" t="s">
        <v>430</v>
      </c>
      <c r="D90">
        <v>1</v>
      </c>
      <c r="E90" s="1">
        <v>9500</v>
      </c>
      <c r="F90" s="1">
        <v>9000</v>
      </c>
      <c r="G90" s="1" t="s">
        <v>364</v>
      </c>
      <c r="H90" s="1" t="s">
        <v>364</v>
      </c>
      <c r="I90" s="1">
        <v>9200</v>
      </c>
      <c r="J90" t="s">
        <v>364</v>
      </c>
      <c r="K90" s="1">
        <v>9200</v>
      </c>
      <c r="M90" s="1"/>
      <c r="N90" s="1"/>
      <c r="R90" s="1"/>
    </row>
    <row r="91" spans="1:18" x14ac:dyDescent="0.3">
      <c r="A91">
        <v>8</v>
      </c>
      <c r="B91" t="s">
        <v>124</v>
      </c>
      <c r="C91" t="s">
        <v>446</v>
      </c>
      <c r="D91">
        <v>1</v>
      </c>
      <c r="E91" s="1">
        <v>9720</v>
      </c>
      <c r="F91" s="1">
        <v>9600</v>
      </c>
      <c r="G91" s="1" t="s">
        <v>364</v>
      </c>
      <c r="H91" s="1" t="s">
        <v>364</v>
      </c>
      <c r="I91" s="1">
        <v>9648</v>
      </c>
      <c r="J91" t="s">
        <v>364</v>
      </c>
      <c r="K91" s="1">
        <v>9648</v>
      </c>
      <c r="M91" s="1"/>
    </row>
    <row r="92" spans="1:18" x14ac:dyDescent="0.3">
      <c r="A92">
        <v>9</v>
      </c>
      <c r="B92" t="s">
        <v>320</v>
      </c>
      <c r="C92" t="s">
        <v>447</v>
      </c>
      <c r="D92">
        <v>1</v>
      </c>
      <c r="E92" s="1">
        <v>9770</v>
      </c>
      <c r="F92" s="1" t="s">
        <v>364</v>
      </c>
      <c r="G92" s="1" t="s">
        <v>364</v>
      </c>
      <c r="H92" s="1" t="s">
        <v>364</v>
      </c>
      <c r="I92" s="1">
        <v>9770</v>
      </c>
      <c r="J92" s="1" t="s">
        <v>364</v>
      </c>
      <c r="K92" s="1">
        <v>9770</v>
      </c>
      <c r="M92" s="1"/>
      <c r="N92" s="1"/>
      <c r="R92" s="1"/>
    </row>
    <row r="93" spans="1:18" x14ac:dyDescent="0.3">
      <c r="A93">
        <v>10</v>
      </c>
      <c r="B93" t="s">
        <v>303</v>
      </c>
      <c r="C93" t="s">
        <v>448</v>
      </c>
      <c r="D93">
        <v>1</v>
      </c>
      <c r="E93" s="1">
        <v>9700</v>
      </c>
      <c r="F93" s="1">
        <v>9500</v>
      </c>
      <c r="G93" s="1" t="s">
        <v>364</v>
      </c>
      <c r="H93" t="s">
        <v>364</v>
      </c>
      <c r="I93" s="1">
        <v>9580</v>
      </c>
      <c r="J93" t="s">
        <v>364</v>
      </c>
      <c r="K93" s="1">
        <v>9580</v>
      </c>
      <c r="N93" s="1"/>
      <c r="R93" s="1"/>
    </row>
    <row r="94" spans="1:18" x14ac:dyDescent="0.3">
      <c r="E94" s="1"/>
      <c r="F94" s="1"/>
      <c r="G94" s="1"/>
      <c r="I94" s="1"/>
      <c r="K94" s="1"/>
      <c r="L94" t="s">
        <v>372</v>
      </c>
      <c r="N94" s="1"/>
      <c r="P94" t="s">
        <v>373</v>
      </c>
      <c r="R94" s="1"/>
    </row>
    <row r="95" spans="1:18" x14ac:dyDescent="0.3">
      <c r="E95" s="1"/>
      <c r="F95" s="1"/>
      <c r="G95" s="1"/>
      <c r="I95" s="1"/>
      <c r="K95" s="1"/>
      <c r="L95" t="s">
        <v>374</v>
      </c>
      <c r="M95" t="s">
        <v>375</v>
      </c>
      <c r="N95" s="1" t="s">
        <v>376</v>
      </c>
      <c r="P95" t="s">
        <v>377</v>
      </c>
      <c r="Q95" t="s">
        <v>378</v>
      </c>
      <c r="R95" s="1" t="s">
        <v>379</v>
      </c>
    </row>
    <row r="96" spans="1:18" x14ac:dyDescent="0.3">
      <c r="A96" t="s">
        <v>380</v>
      </c>
      <c r="E96" s="1"/>
      <c r="F96" s="1"/>
      <c r="G96" s="1"/>
      <c r="I96" s="1"/>
      <c r="K96" s="1"/>
      <c r="L96" t="s">
        <v>449</v>
      </c>
      <c r="M96" t="s">
        <v>449</v>
      </c>
      <c r="N96" s="1" t="s">
        <v>382</v>
      </c>
      <c r="P96" t="s">
        <v>450</v>
      </c>
      <c r="Q96" t="s">
        <v>450</v>
      </c>
      <c r="R96" s="1" t="s">
        <v>382</v>
      </c>
    </row>
    <row r="97" spans="1:20" x14ac:dyDescent="0.3">
      <c r="A97" t="s">
        <v>384</v>
      </c>
      <c r="E97" s="1"/>
      <c r="F97" s="1"/>
      <c r="G97" s="1"/>
      <c r="I97" s="1"/>
      <c r="K97" s="1"/>
      <c r="L97" t="s">
        <v>451</v>
      </c>
      <c r="M97" t="s">
        <v>452</v>
      </c>
      <c r="N97" s="1" t="s">
        <v>387</v>
      </c>
      <c r="P97" s="1" t="s">
        <v>453</v>
      </c>
      <c r="Q97" t="s">
        <v>385</v>
      </c>
      <c r="R97" s="1" t="s">
        <v>390</v>
      </c>
      <c r="T97" s="1"/>
    </row>
    <row r="98" spans="1:20" x14ac:dyDescent="0.3">
      <c r="A98" t="s">
        <v>391</v>
      </c>
      <c r="E98" s="1"/>
      <c r="F98" s="1"/>
      <c r="G98" s="1"/>
      <c r="I98" s="1"/>
      <c r="K98" s="1"/>
      <c r="M98" t="s">
        <v>380</v>
      </c>
      <c r="N98" s="1">
        <v>8955</v>
      </c>
      <c r="Q98" t="s">
        <v>392</v>
      </c>
      <c r="R98" s="1">
        <v>8800</v>
      </c>
    </row>
    <row r="99" spans="1:20" x14ac:dyDescent="0.3">
      <c r="E99" s="1"/>
      <c r="F99" s="1"/>
      <c r="G99" s="1"/>
      <c r="I99" s="1"/>
      <c r="J99" s="1"/>
      <c r="K99" s="1"/>
      <c r="N99" s="1"/>
      <c r="R99" s="1"/>
    </row>
    <row r="100" spans="1:20" x14ac:dyDescent="0.3">
      <c r="A100" t="s">
        <v>454</v>
      </c>
      <c r="E100" s="1"/>
      <c r="F100" s="1"/>
      <c r="G100" s="1"/>
      <c r="I100" s="1"/>
      <c r="K100" s="1"/>
    </row>
    <row r="101" spans="1:20" x14ac:dyDescent="0.3">
      <c r="E101" s="1"/>
      <c r="F101" s="1"/>
      <c r="G101" s="1"/>
      <c r="I101" s="1"/>
      <c r="J101" s="1"/>
      <c r="K101" s="1"/>
    </row>
    <row r="102" spans="1:20" x14ac:dyDescent="0.3">
      <c r="A102" t="s">
        <v>353</v>
      </c>
      <c r="B102" t="s">
        <v>341</v>
      </c>
      <c r="C102" t="s">
        <v>354</v>
      </c>
      <c r="D102" t="s">
        <v>355</v>
      </c>
      <c r="E102" s="1" t="s">
        <v>356</v>
      </c>
      <c r="F102" s="1" t="s">
        <v>357</v>
      </c>
      <c r="G102" s="1" t="s">
        <v>358</v>
      </c>
      <c r="H102" s="1" t="s">
        <v>359</v>
      </c>
      <c r="I102" s="1" t="s">
        <v>360</v>
      </c>
      <c r="J102" t="s">
        <v>361</v>
      </c>
      <c r="K102" s="1" t="s">
        <v>362</v>
      </c>
      <c r="M102" s="1"/>
    </row>
    <row r="103" spans="1:20" x14ac:dyDescent="0.3">
      <c r="A103">
        <v>1</v>
      </c>
      <c r="B103" t="s">
        <v>188</v>
      </c>
      <c r="C103" t="s">
        <v>455</v>
      </c>
      <c r="D103">
        <v>3</v>
      </c>
      <c r="E103" s="1">
        <v>9880</v>
      </c>
      <c r="F103" s="1">
        <v>8070</v>
      </c>
      <c r="G103" s="1">
        <v>9670</v>
      </c>
      <c r="H103" s="1" t="s">
        <v>364</v>
      </c>
      <c r="I103" s="1">
        <v>9253</v>
      </c>
      <c r="J103" s="1" t="s">
        <v>364</v>
      </c>
      <c r="K103" s="1">
        <v>9253</v>
      </c>
      <c r="M103" s="1"/>
    </row>
    <row r="104" spans="1:20" x14ac:dyDescent="0.3">
      <c r="A104">
        <v>2</v>
      </c>
      <c r="B104" t="s">
        <v>18</v>
      </c>
      <c r="C104" t="s">
        <v>456</v>
      </c>
      <c r="D104">
        <v>4</v>
      </c>
      <c r="E104" s="1">
        <v>7000</v>
      </c>
      <c r="F104" s="1">
        <v>9400</v>
      </c>
      <c r="G104" s="1">
        <v>9300</v>
      </c>
      <c r="H104" s="1" t="s">
        <v>364</v>
      </c>
      <c r="I104" s="1">
        <v>8640</v>
      </c>
      <c r="J104" t="s">
        <v>364</v>
      </c>
      <c r="K104" s="1">
        <v>8640</v>
      </c>
      <c r="M104" s="1"/>
    </row>
    <row r="105" spans="1:20" x14ac:dyDescent="0.3">
      <c r="A105">
        <v>3</v>
      </c>
      <c r="B105" t="s">
        <v>82</v>
      </c>
      <c r="C105" t="s">
        <v>457</v>
      </c>
      <c r="D105">
        <v>2</v>
      </c>
      <c r="E105" s="1">
        <v>8500</v>
      </c>
      <c r="F105" s="1">
        <v>8500</v>
      </c>
      <c r="G105" s="1">
        <v>8900</v>
      </c>
      <c r="H105" s="1" t="s">
        <v>364</v>
      </c>
      <c r="I105" s="1">
        <v>8700</v>
      </c>
      <c r="J105" t="s">
        <v>364</v>
      </c>
      <c r="K105" s="1">
        <v>8700</v>
      </c>
      <c r="M105" s="1"/>
    </row>
    <row r="106" spans="1:20" x14ac:dyDescent="0.3">
      <c r="A106">
        <v>4</v>
      </c>
      <c r="B106" t="s">
        <v>97</v>
      </c>
      <c r="C106" t="s">
        <v>430</v>
      </c>
      <c r="D106">
        <v>1</v>
      </c>
      <c r="E106" s="1">
        <v>10000</v>
      </c>
      <c r="F106" s="1">
        <v>10000</v>
      </c>
      <c r="G106" s="1">
        <v>10000</v>
      </c>
      <c r="H106" t="s">
        <v>364</v>
      </c>
      <c r="I106" s="1">
        <v>10000</v>
      </c>
      <c r="J106" t="s">
        <v>364</v>
      </c>
      <c r="K106" s="1">
        <v>10000</v>
      </c>
      <c r="M106" s="1"/>
    </row>
    <row r="107" spans="1:20" x14ac:dyDescent="0.3">
      <c r="A107">
        <v>5</v>
      </c>
      <c r="B107" t="s">
        <v>280</v>
      </c>
      <c r="C107" t="s">
        <v>458</v>
      </c>
      <c r="D107">
        <v>4</v>
      </c>
      <c r="E107" s="1">
        <v>8239</v>
      </c>
      <c r="F107" s="1" t="s">
        <v>364</v>
      </c>
      <c r="G107" s="1" t="s">
        <v>364</v>
      </c>
      <c r="H107" s="1" t="s">
        <v>364</v>
      </c>
      <c r="I107" s="1">
        <v>8239</v>
      </c>
      <c r="J107" t="s">
        <v>364</v>
      </c>
      <c r="K107" s="1">
        <v>8239</v>
      </c>
      <c r="M107" s="1"/>
    </row>
    <row r="108" spans="1:20" x14ac:dyDescent="0.3">
      <c r="A108">
        <v>6</v>
      </c>
      <c r="B108" t="s">
        <v>145</v>
      </c>
      <c r="C108" t="s">
        <v>459</v>
      </c>
      <c r="D108">
        <v>1</v>
      </c>
      <c r="E108" s="1">
        <v>8239</v>
      </c>
      <c r="F108" s="1" t="s">
        <v>364</v>
      </c>
      <c r="G108" s="1" t="s">
        <v>364</v>
      </c>
      <c r="H108" s="1" t="s">
        <v>364</v>
      </c>
      <c r="I108" s="1">
        <v>8239</v>
      </c>
      <c r="J108" t="s">
        <v>364</v>
      </c>
      <c r="K108" s="1">
        <v>8239</v>
      </c>
      <c r="M108" s="1"/>
      <c r="N108" s="1"/>
      <c r="R108" s="1"/>
    </row>
    <row r="109" spans="1:20" x14ac:dyDescent="0.3">
      <c r="A109">
        <v>7</v>
      </c>
      <c r="B109" t="s">
        <v>58</v>
      </c>
      <c r="C109" t="s">
        <v>460</v>
      </c>
      <c r="D109">
        <v>2</v>
      </c>
      <c r="E109" s="1">
        <v>8000</v>
      </c>
      <c r="F109" s="1">
        <v>7300</v>
      </c>
      <c r="G109" s="1">
        <v>8100</v>
      </c>
      <c r="H109" s="1" t="s">
        <v>364</v>
      </c>
      <c r="I109" s="1">
        <v>7830</v>
      </c>
      <c r="J109" t="s">
        <v>364</v>
      </c>
      <c r="K109" s="1">
        <v>7830</v>
      </c>
      <c r="M109" s="1"/>
      <c r="N109" s="1"/>
      <c r="R109" s="1"/>
    </row>
    <row r="110" spans="1:20" x14ac:dyDescent="0.3">
      <c r="A110">
        <v>8</v>
      </c>
      <c r="B110" t="s">
        <v>157</v>
      </c>
      <c r="C110" t="s">
        <v>461</v>
      </c>
      <c r="D110">
        <v>1</v>
      </c>
      <c r="E110" s="1">
        <v>8239</v>
      </c>
      <c r="F110" s="1" t="s">
        <v>364</v>
      </c>
      <c r="G110" s="1" t="s">
        <v>364</v>
      </c>
      <c r="H110" s="1" t="s">
        <v>364</v>
      </c>
      <c r="I110" s="1">
        <v>8239</v>
      </c>
      <c r="J110" t="s">
        <v>364</v>
      </c>
      <c r="K110" s="1">
        <v>8239</v>
      </c>
      <c r="M110" s="1"/>
      <c r="N110" s="1"/>
      <c r="R110" s="1"/>
    </row>
    <row r="111" spans="1:20" x14ac:dyDescent="0.3">
      <c r="A111">
        <v>9</v>
      </c>
      <c r="B111" t="s">
        <v>137</v>
      </c>
      <c r="C111" t="s">
        <v>462</v>
      </c>
      <c r="D111">
        <v>2</v>
      </c>
      <c r="E111" s="1">
        <v>8500</v>
      </c>
      <c r="F111" s="1">
        <v>8000</v>
      </c>
      <c r="G111" s="1">
        <v>9000</v>
      </c>
      <c r="H111" t="s">
        <v>364</v>
      </c>
      <c r="I111" s="1">
        <v>8550</v>
      </c>
      <c r="J111" t="s">
        <v>364</v>
      </c>
      <c r="K111" s="1">
        <v>8550</v>
      </c>
      <c r="N111" s="1"/>
      <c r="R111" s="1"/>
    </row>
    <row r="112" spans="1:20" x14ac:dyDescent="0.3">
      <c r="E112" s="1"/>
      <c r="I112" s="1"/>
      <c r="K112" s="1"/>
      <c r="L112" t="s">
        <v>372</v>
      </c>
      <c r="N112" s="1"/>
      <c r="P112" t="s">
        <v>373</v>
      </c>
      <c r="R112" s="1"/>
    </row>
    <row r="113" spans="1:20" x14ac:dyDescent="0.3">
      <c r="E113" s="1"/>
      <c r="F113" s="1"/>
      <c r="G113" s="1"/>
      <c r="I113" s="1"/>
      <c r="K113" s="1"/>
      <c r="L113" t="s">
        <v>374</v>
      </c>
      <c r="M113" t="s">
        <v>375</v>
      </c>
      <c r="N113" s="1" t="s">
        <v>376</v>
      </c>
      <c r="P113" t="s">
        <v>377</v>
      </c>
      <c r="Q113" t="s">
        <v>378</v>
      </c>
      <c r="R113" s="1" t="s">
        <v>379</v>
      </c>
    </row>
    <row r="114" spans="1:20" x14ac:dyDescent="0.3">
      <c r="A114" t="s">
        <v>380</v>
      </c>
      <c r="E114" s="1"/>
      <c r="F114" s="1"/>
      <c r="G114" s="1"/>
      <c r="I114" s="1"/>
      <c r="K114" s="1"/>
      <c r="L114" t="s">
        <v>433</v>
      </c>
      <c r="M114" t="s">
        <v>381</v>
      </c>
      <c r="N114" s="1" t="s">
        <v>387</v>
      </c>
      <c r="P114" t="s">
        <v>434</v>
      </c>
      <c r="Q114" t="s">
        <v>450</v>
      </c>
      <c r="R114" s="1" t="s">
        <v>390</v>
      </c>
    </row>
    <row r="115" spans="1:20" x14ac:dyDescent="0.3">
      <c r="A115" t="s">
        <v>384</v>
      </c>
      <c r="E115" s="1"/>
      <c r="F115" s="1"/>
      <c r="G115" s="1"/>
      <c r="I115" s="1"/>
      <c r="K115" s="1"/>
      <c r="L115" t="s">
        <v>463</v>
      </c>
      <c r="M115" t="s">
        <v>464</v>
      </c>
      <c r="N115" s="1" t="s">
        <v>387</v>
      </c>
      <c r="P115" s="1" t="s">
        <v>421</v>
      </c>
      <c r="Q115" t="s">
        <v>465</v>
      </c>
      <c r="R115" s="1" t="s">
        <v>390</v>
      </c>
      <c r="T115" s="1"/>
    </row>
    <row r="116" spans="1:20" x14ac:dyDescent="0.3">
      <c r="A116" t="s">
        <v>391</v>
      </c>
      <c r="E116" s="1"/>
      <c r="F116" s="1"/>
      <c r="G116" s="1"/>
      <c r="I116" s="1"/>
      <c r="K116" s="1"/>
      <c r="M116" t="s">
        <v>380</v>
      </c>
      <c r="N116" s="1">
        <v>8596</v>
      </c>
      <c r="Q116" t="s">
        <v>392</v>
      </c>
      <c r="R116" s="1">
        <v>8752</v>
      </c>
    </row>
    <row r="117" spans="1:20" x14ac:dyDescent="0.3">
      <c r="E117" s="1"/>
      <c r="F117" s="1"/>
      <c r="G117" s="1"/>
      <c r="I117" s="1"/>
      <c r="K117" s="1"/>
    </row>
    <row r="118" spans="1:20" x14ac:dyDescent="0.3">
      <c r="A118" t="s">
        <v>466</v>
      </c>
      <c r="E118" s="1"/>
      <c r="F118" s="1"/>
      <c r="G118" s="1"/>
      <c r="I118" s="1"/>
      <c r="K118" s="1"/>
      <c r="N118" s="1"/>
      <c r="R118" s="1"/>
    </row>
    <row r="119" spans="1:20" x14ac:dyDescent="0.3">
      <c r="E119" s="1"/>
      <c r="F119" s="1"/>
      <c r="G119" s="1"/>
      <c r="I119" s="1"/>
      <c r="K119" s="1"/>
    </row>
    <row r="120" spans="1:20" x14ac:dyDescent="0.3">
      <c r="A120" t="s">
        <v>353</v>
      </c>
      <c r="B120" t="s">
        <v>341</v>
      </c>
      <c r="C120" t="s">
        <v>354</v>
      </c>
      <c r="D120" t="s">
        <v>355</v>
      </c>
      <c r="E120" s="1" t="s">
        <v>356</v>
      </c>
      <c r="F120" s="1" t="s">
        <v>357</v>
      </c>
      <c r="G120" s="1" t="s">
        <v>358</v>
      </c>
      <c r="H120" s="1" t="s">
        <v>359</v>
      </c>
      <c r="I120" s="1" t="s">
        <v>360</v>
      </c>
      <c r="J120" s="1" t="s">
        <v>361</v>
      </c>
      <c r="K120" s="1" t="s">
        <v>362</v>
      </c>
      <c r="M120" s="1"/>
    </row>
    <row r="121" spans="1:20" x14ac:dyDescent="0.3">
      <c r="A121">
        <v>1</v>
      </c>
      <c r="B121" t="s">
        <v>121</v>
      </c>
      <c r="C121" t="s">
        <v>426</v>
      </c>
      <c r="D121">
        <v>3</v>
      </c>
      <c r="E121" s="1">
        <v>9800</v>
      </c>
      <c r="F121" s="1">
        <v>9800</v>
      </c>
      <c r="G121" s="1">
        <v>9800</v>
      </c>
      <c r="H121" s="1" t="s">
        <v>364</v>
      </c>
      <c r="I121" s="1">
        <v>9800</v>
      </c>
      <c r="J121" t="s">
        <v>364</v>
      </c>
      <c r="K121" s="1">
        <v>9800</v>
      </c>
      <c r="M121" s="1"/>
    </row>
    <row r="122" spans="1:20" x14ac:dyDescent="0.3">
      <c r="A122">
        <v>2</v>
      </c>
      <c r="B122" t="s">
        <v>15</v>
      </c>
      <c r="C122" t="s">
        <v>467</v>
      </c>
      <c r="D122">
        <v>2</v>
      </c>
      <c r="E122" s="1">
        <v>7500</v>
      </c>
      <c r="F122" s="1">
        <v>9000</v>
      </c>
      <c r="G122" s="1">
        <v>8000</v>
      </c>
      <c r="H122" s="1" t="s">
        <v>364</v>
      </c>
      <c r="I122" s="1">
        <v>8150</v>
      </c>
      <c r="J122" s="1" t="s">
        <v>364</v>
      </c>
      <c r="K122" s="1">
        <v>8150</v>
      </c>
      <c r="M122" s="1"/>
    </row>
    <row r="123" spans="1:20" x14ac:dyDescent="0.3">
      <c r="A123">
        <v>3</v>
      </c>
      <c r="B123" t="s">
        <v>134</v>
      </c>
      <c r="C123" t="s">
        <v>468</v>
      </c>
      <c r="D123">
        <v>1</v>
      </c>
      <c r="E123" s="1">
        <v>8000</v>
      </c>
      <c r="F123" s="1">
        <v>9000</v>
      </c>
      <c r="G123" s="1">
        <v>8500</v>
      </c>
      <c r="H123" s="1" t="s">
        <v>364</v>
      </c>
      <c r="I123" s="1">
        <v>8500</v>
      </c>
      <c r="J123" t="s">
        <v>364</v>
      </c>
      <c r="K123" s="1">
        <v>8500</v>
      </c>
      <c r="M123" s="1"/>
    </row>
    <row r="124" spans="1:20" x14ac:dyDescent="0.3">
      <c r="A124">
        <v>4</v>
      </c>
      <c r="B124" t="s">
        <v>80</v>
      </c>
      <c r="C124" t="s">
        <v>469</v>
      </c>
      <c r="D124">
        <v>2</v>
      </c>
      <c r="E124" s="1">
        <v>7400</v>
      </c>
      <c r="F124" s="1">
        <v>8000</v>
      </c>
      <c r="G124" s="1">
        <v>7700</v>
      </c>
      <c r="H124" t="s">
        <v>364</v>
      </c>
      <c r="I124" s="1">
        <v>7700</v>
      </c>
      <c r="J124" s="1" t="s">
        <v>364</v>
      </c>
      <c r="K124" s="1">
        <v>7700</v>
      </c>
      <c r="M124" s="1"/>
    </row>
    <row r="125" spans="1:20" x14ac:dyDescent="0.3">
      <c r="A125">
        <v>5</v>
      </c>
      <c r="B125" t="s">
        <v>62</v>
      </c>
      <c r="C125" t="s">
        <v>470</v>
      </c>
      <c r="D125">
        <v>2</v>
      </c>
      <c r="E125" s="1">
        <v>8000</v>
      </c>
      <c r="F125" s="1">
        <v>6800</v>
      </c>
      <c r="G125" s="1">
        <v>7800</v>
      </c>
      <c r="H125" s="1" t="s">
        <v>364</v>
      </c>
      <c r="I125" s="1">
        <v>7560</v>
      </c>
      <c r="J125" t="s">
        <v>364</v>
      </c>
      <c r="K125" s="1">
        <v>7560</v>
      </c>
      <c r="M125" s="1"/>
      <c r="N125" s="1"/>
      <c r="R125" s="1"/>
    </row>
    <row r="126" spans="1:20" x14ac:dyDescent="0.3">
      <c r="A126">
        <v>6</v>
      </c>
      <c r="B126" t="s">
        <v>112</v>
      </c>
      <c r="C126" t="s">
        <v>471</v>
      </c>
      <c r="D126">
        <v>4</v>
      </c>
      <c r="E126" s="1">
        <v>7000</v>
      </c>
      <c r="F126" s="1">
        <v>7200</v>
      </c>
      <c r="G126" s="1">
        <v>8300</v>
      </c>
      <c r="H126" s="1" t="s">
        <v>364</v>
      </c>
      <c r="I126" s="1">
        <v>7580</v>
      </c>
      <c r="J126" s="1" t="s">
        <v>364</v>
      </c>
      <c r="K126" s="1">
        <v>7580</v>
      </c>
      <c r="M126" s="1"/>
    </row>
    <row r="127" spans="1:20" x14ac:dyDescent="0.3">
      <c r="A127">
        <v>7</v>
      </c>
      <c r="B127" t="s">
        <v>146</v>
      </c>
      <c r="C127" t="s">
        <v>472</v>
      </c>
      <c r="D127">
        <v>2</v>
      </c>
      <c r="E127" s="1">
        <v>10000</v>
      </c>
      <c r="F127" s="1">
        <v>10000</v>
      </c>
      <c r="G127" s="1">
        <v>10000</v>
      </c>
      <c r="H127" s="1" t="s">
        <v>364</v>
      </c>
      <c r="I127" s="1">
        <v>10000</v>
      </c>
      <c r="J127" t="s">
        <v>364</v>
      </c>
      <c r="K127" s="1">
        <v>10000</v>
      </c>
      <c r="M127" s="1"/>
      <c r="N127" s="1"/>
      <c r="R127" s="1"/>
    </row>
    <row r="128" spans="1:20" x14ac:dyDescent="0.3">
      <c r="A128">
        <v>8</v>
      </c>
      <c r="B128" t="s">
        <v>136</v>
      </c>
      <c r="C128" t="s">
        <v>473</v>
      </c>
      <c r="D128">
        <v>2</v>
      </c>
      <c r="E128" s="1">
        <v>10000</v>
      </c>
      <c r="F128" s="1">
        <v>10000</v>
      </c>
      <c r="G128" s="1">
        <v>10000</v>
      </c>
      <c r="H128" s="1" t="s">
        <v>364</v>
      </c>
      <c r="I128" s="1">
        <v>10000</v>
      </c>
      <c r="J128" t="s">
        <v>364</v>
      </c>
      <c r="K128" s="1">
        <v>10000</v>
      </c>
      <c r="M128" s="1"/>
      <c r="N128" s="1"/>
      <c r="R128" s="1"/>
    </row>
    <row r="129" spans="1:20" x14ac:dyDescent="0.3">
      <c r="A129">
        <v>9</v>
      </c>
      <c r="B129" t="s">
        <v>103</v>
      </c>
      <c r="C129" t="s">
        <v>474</v>
      </c>
      <c r="D129">
        <v>2</v>
      </c>
      <c r="E129" s="1">
        <v>9300</v>
      </c>
      <c r="F129" s="1">
        <v>9500</v>
      </c>
      <c r="G129" s="1">
        <v>9500</v>
      </c>
      <c r="H129" s="1" t="s">
        <v>364</v>
      </c>
      <c r="I129" s="1">
        <v>9440</v>
      </c>
      <c r="J129" t="s">
        <v>364</v>
      </c>
      <c r="K129" s="1">
        <v>9440</v>
      </c>
      <c r="M129" s="1"/>
      <c r="N129" s="1"/>
      <c r="R129" s="1"/>
    </row>
    <row r="130" spans="1:20" x14ac:dyDescent="0.3">
      <c r="E130" s="1"/>
      <c r="F130" s="1"/>
      <c r="G130" s="1"/>
      <c r="I130" s="1"/>
      <c r="K130" s="1"/>
      <c r="L130" t="s">
        <v>372</v>
      </c>
      <c r="P130" t="s">
        <v>373</v>
      </c>
    </row>
    <row r="131" spans="1:20" x14ac:dyDescent="0.3">
      <c r="E131" s="1"/>
      <c r="F131" s="1"/>
      <c r="G131" s="1"/>
      <c r="I131" s="1"/>
      <c r="K131" s="1"/>
      <c r="L131" t="s">
        <v>374</v>
      </c>
      <c r="M131" t="s">
        <v>375</v>
      </c>
      <c r="N131" s="1" t="s">
        <v>376</v>
      </c>
      <c r="P131" t="s">
        <v>377</v>
      </c>
      <c r="Q131" t="s">
        <v>378</v>
      </c>
      <c r="R131" s="1" t="s">
        <v>379</v>
      </c>
    </row>
    <row r="132" spans="1:20" x14ac:dyDescent="0.3">
      <c r="A132" t="s">
        <v>380</v>
      </c>
      <c r="E132" s="1"/>
      <c r="F132" s="1"/>
      <c r="G132" s="1"/>
      <c r="I132" s="1"/>
      <c r="K132" s="1"/>
      <c r="L132" t="s">
        <v>433</v>
      </c>
      <c r="M132" t="s">
        <v>433</v>
      </c>
      <c r="N132" s="1" t="s">
        <v>382</v>
      </c>
      <c r="P132" t="s">
        <v>434</v>
      </c>
      <c r="Q132" t="s">
        <v>434</v>
      </c>
      <c r="R132" s="1" t="s">
        <v>382</v>
      </c>
    </row>
    <row r="133" spans="1:20" x14ac:dyDescent="0.3">
      <c r="A133" t="s">
        <v>384</v>
      </c>
      <c r="E133" s="1"/>
      <c r="F133" s="1"/>
      <c r="G133" s="1"/>
      <c r="I133" s="1"/>
      <c r="K133" s="1"/>
      <c r="L133" t="s">
        <v>475</v>
      </c>
      <c r="M133" t="s">
        <v>475</v>
      </c>
      <c r="N133" s="1" t="s">
        <v>382</v>
      </c>
      <c r="P133" t="s">
        <v>451</v>
      </c>
      <c r="Q133" t="s">
        <v>451</v>
      </c>
      <c r="R133" s="1" t="s">
        <v>382</v>
      </c>
    </row>
    <row r="134" spans="1:20" x14ac:dyDescent="0.3">
      <c r="A134" t="s">
        <v>391</v>
      </c>
      <c r="E134" s="1"/>
      <c r="F134" s="1"/>
      <c r="G134" s="1"/>
      <c r="I134" s="1"/>
      <c r="K134" s="1"/>
      <c r="M134" t="s">
        <v>380</v>
      </c>
      <c r="N134" s="1">
        <v>8696</v>
      </c>
      <c r="P134" s="1"/>
      <c r="Q134" t="s">
        <v>392</v>
      </c>
      <c r="R134" s="1">
        <v>8834</v>
      </c>
      <c r="T134" s="1"/>
    </row>
    <row r="135" spans="1:20" x14ac:dyDescent="0.3">
      <c r="E135" s="1"/>
      <c r="F135" s="1"/>
      <c r="G135" s="1"/>
      <c r="I135" s="1"/>
      <c r="K135" s="1"/>
    </row>
    <row r="136" spans="1:20" x14ac:dyDescent="0.3">
      <c r="A136" t="s">
        <v>476</v>
      </c>
      <c r="E136" s="1"/>
      <c r="F136" s="1"/>
      <c r="G136" s="1"/>
      <c r="I136" s="1"/>
      <c r="K136" s="1"/>
      <c r="N136" s="1"/>
      <c r="R136" s="1"/>
    </row>
    <row r="137" spans="1:20" x14ac:dyDescent="0.3">
      <c r="E137" s="1"/>
      <c r="F137" s="1"/>
      <c r="G137" s="1"/>
      <c r="I137" s="1"/>
      <c r="K137" s="1"/>
    </row>
    <row r="138" spans="1:20" x14ac:dyDescent="0.3">
      <c r="A138" t="s">
        <v>353</v>
      </c>
      <c r="B138" t="s">
        <v>341</v>
      </c>
      <c r="C138" t="s">
        <v>354</v>
      </c>
      <c r="D138" t="s">
        <v>355</v>
      </c>
      <c r="E138" s="1" t="s">
        <v>356</v>
      </c>
      <c r="F138" s="1" t="s">
        <v>357</v>
      </c>
      <c r="G138" s="1" t="s">
        <v>358</v>
      </c>
      <c r="H138" t="s">
        <v>359</v>
      </c>
      <c r="I138" s="1" t="s">
        <v>360</v>
      </c>
      <c r="J138" t="s">
        <v>361</v>
      </c>
      <c r="K138" s="1" t="s">
        <v>362</v>
      </c>
    </row>
    <row r="139" spans="1:20" x14ac:dyDescent="0.3">
      <c r="A139">
        <v>1</v>
      </c>
      <c r="B139" t="s">
        <v>71</v>
      </c>
      <c r="C139" t="s">
        <v>477</v>
      </c>
      <c r="D139">
        <v>2</v>
      </c>
      <c r="E139" s="1">
        <v>8500</v>
      </c>
      <c r="F139" s="1">
        <v>8500</v>
      </c>
      <c r="G139" s="1">
        <v>9000</v>
      </c>
      <c r="H139" s="1" t="s">
        <v>364</v>
      </c>
      <c r="I139" s="1">
        <v>8700</v>
      </c>
      <c r="J139" t="s">
        <v>364</v>
      </c>
      <c r="K139" s="1">
        <v>8700</v>
      </c>
      <c r="M139" s="1"/>
    </row>
    <row r="140" spans="1:20" x14ac:dyDescent="0.3">
      <c r="A140">
        <v>2</v>
      </c>
      <c r="B140" t="s">
        <v>125</v>
      </c>
      <c r="C140" t="s">
        <v>478</v>
      </c>
      <c r="D140">
        <v>2</v>
      </c>
      <c r="E140" s="1">
        <v>9000</v>
      </c>
      <c r="F140" s="1">
        <v>9300</v>
      </c>
      <c r="G140" s="1">
        <v>10000</v>
      </c>
      <c r="H140" s="1" t="s">
        <v>364</v>
      </c>
      <c r="I140" s="1">
        <v>9490</v>
      </c>
      <c r="J140" s="1" t="s">
        <v>364</v>
      </c>
      <c r="K140" s="1">
        <v>9490</v>
      </c>
      <c r="M140" s="1"/>
    </row>
    <row r="141" spans="1:20" x14ac:dyDescent="0.3">
      <c r="A141">
        <v>3</v>
      </c>
      <c r="B141" t="s">
        <v>75</v>
      </c>
      <c r="C141" t="s">
        <v>479</v>
      </c>
      <c r="D141">
        <v>1</v>
      </c>
      <c r="E141" s="1">
        <v>10000</v>
      </c>
      <c r="F141" s="1">
        <v>9700</v>
      </c>
      <c r="G141" s="1">
        <v>9800</v>
      </c>
      <c r="H141" s="1" t="s">
        <v>364</v>
      </c>
      <c r="I141" s="1">
        <v>9830</v>
      </c>
      <c r="J141" s="1" t="s">
        <v>364</v>
      </c>
      <c r="K141" s="1">
        <v>9830</v>
      </c>
      <c r="M141" s="1"/>
    </row>
    <row r="142" spans="1:20" x14ac:dyDescent="0.3">
      <c r="A142">
        <v>4</v>
      </c>
      <c r="B142" t="s">
        <v>78</v>
      </c>
      <c r="C142" t="s">
        <v>428</v>
      </c>
      <c r="D142">
        <v>1</v>
      </c>
      <c r="E142" s="1">
        <v>9700</v>
      </c>
      <c r="F142" s="1">
        <v>7500</v>
      </c>
      <c r="G142" s="1">
        <v>8500</v>
      </c>
      <c r="H142" s="1" t="s">
        <v>364</v>
      </c>
      <c r="I142" s="1">
        <v>8560</v>
      </c>
      <c r="J142" t="s">
        <v>364</v>
      </c>
      <c r="K142" s="1">
        <v>8560</v>
      </c>
      <c r="M142" s="1"/>
    </row>
    <row r="143" spans="1:20" x14ac:dyDescent="0.3">
      <c r="A143">
        <v>5</v>
      </c>
      <c r="B143" t="s">
        <v>22</v>
      </c>
      <c r="C143" t="s">
        <v>428</v>
      </c>
      <c r="D143">
        <v>2</v>
      </c>
      <c r="E143" s="1">
        <v>7800</v>
      </c>
      <c r="F143" s="1">
        <v>5000</v>
      </c>
      <c r="G143" s="1">
        <v>7800</v>
      </c>
      <c r="H143" s="1" t="s">
        <v>364</v>
      </c>
      <c r="I143" s="1">
        <v>6960</v>
      </c>
      <c r="J143" t="s">
        <v>364</v>
      </c>
      <c r="K143" s="1">
        <v>6960</v>
      </c>
      <c r="M143" s="1"/>
    </row>
    <row r="144" spans="1:20" x14ac:dyDescent="0.3">
      <c r="A144">
        <v>6</v>
      </c>
      <c r="B144" t="s">
        <v>43</v>
      </c>
      <c r="C144" t="s">
        <v>480</v>
      </c>
      <c r="D144">
        <v>2</v>
      </c>
      <c r="E144" s="1">
        <v>9800</v>
      </c>
      <c r="F144" s="1">
        <v>9000</v>
      </c>
      <c r="G144" s="1">
        <v>9000</v>
      </c>
      <c r="H144" s="1" t="s">
        <v>364</v>
      </c>
      <c r="I144" s="1">
        <v>9240</v>
      </c>
      <c r="J144" t="s">
        <v>364</v>
      </c>
      <c r="K144" s="1">
        <v>9240</v>
      </c>
      <c r="M144" s="1"/>
      <c r="N144" s="1"/>
      <c r="R144" s="1"/>
    </row>
    <row r="145" spans="1:20" x14ac:dyDescent="0.3">
      <c r="A145">
        <v>7</v>
      </c>
      <c r="B145" t="s">
        <v>31</v>
      </c>
      <c r="C145" t="s">
        <v>481</v>
      </c>
      <c r="D145">
        <v>2</v>
      </c>
      <c r="E145" s="1">
        <v>8000</v>
      </c>
      <c r="F145" s="1">
        <v>7000</v>
      </c>
      <c r="G145" s="1">
        <v>9500</v>
      </c>
      <c r="H145" s="1" t="s">
        <v>364</v>
      </c>
      <c r="I145" s="1">
        <v>8300</v>
      </c>
      <c r="J145" t="s">
        <v>364</v>
      </c>
      <c r="K145" s="1">
        <v>8300</v>
      </c>
      <c r="M145" s="1"/>
    </row>
    <row r="146" spans="1:20" x14ac:dyDescent="0.3">
      <c r="A146">
        <v>8</v>
      </c>
      <c r="B146" t="s">
        <v>117</v>
      </c>
      <c r="C146" t="s">
        <v>482</v>
      </c>
      <c r="D146">
        <v>2</v>
      </c>
      <c r="E146" s="1">
        <v>7700</v>
      </c>
      <c r="F146" s="1">
        <v>9000</v>
      </c>
      <c r="G146" s="1">
        <v>10000</v>
      </c>
      <c r="H146" s="1" t="s">
        <v>364</v>
      </c>
      <c r="I146" s="1">
        <v>9010</v>
      </c>
      <c r="J146" t="s">
        <v>364</v>
      </c>
      <c r="K146" s="1">
        <v>9010</v>
      </c>
      <c r="M146" s="1"/>
      <c r="N146" s="1"/>
      <c r="R146" s="1"/>
    </row>
    <row r="147" spans="1:20" x14ac:dyDescent="0.3">
      <c r="A147">
        <v>9</v>
      </c>
      <c r="B147" t="s">
        <v>39</v>
      </c>
      <c r="C147" t="s">
        <v>483</v>
      </c>
      <c r="D147">
        <v>1</v>
      </c>
      <c r="E147" s="1">
        <v>10000</v>
      </c>
      <c r="F147" s="1">
        <v>10000</v>
      </c>
      <c r="G147" s="1" t="s">
        <v>364</v>
      </c>
      <c r="H147" t="s">
        <v>364</v>
      </c>
      <c r="I147" s="1">
        <v>10000</v>
      </c>
      <c r="J147" t="s">
        <v>364</v>
      </c>
      <c r="K147" s="1">
        <v>10000</v>
      </c>
      <c r="N147" s="1"/>
      <c r="R147" s="1"/>
    </row>
    <row r="148" spans="1:20" x14ac:dyDescent="0.3">
      <c r="A148">
        <v>10</v>
      </c>
      <c r="B148" t="s">
        <v>120</v>
      </c>
      <c r="C148" t="s">
        <v>484</v>
      </c>
      <c r="D148">
        <v>2</v>
      </c>
      <c r="E148" s="1">
        <v>10000</v>
      </c>
      <c r="F148" s="1">
        <v>10000</v>
      </c>
      <c r="G148" s="1">
        <v>10000</v>
      </c>
      <c r="H148" t="s">
        <v>364</v>
      </c>
      <c r="I148" s="1">
        <v>10000</v>
      </c>
      <c r="J148" t="s">
        <v>364</v>
      </c>
      <c r="K148" s="1">
        <v>10000</v>
      </c>
      <c r="N148" s="1"/>
      <c r="R148" s="1"/>
    </row>
    <row r="149" spans="1:20" x14ac:dyDescent="0.3">
      <c r="E149" s="1"/>
      <c r="F149" s="1"/>
      <c r="G149" s="1"/>
      <c r="I149" s="1"/>
      <c r="K149" s="1"/>
      <c r="L149" t="s">
        <v>372</v>
      </c>
      <c r="N149" s="1"/>
      <c r="P149" t="s">
        <v>373</v>
      </c>
      <c r="R149" s="1"/>
    </row>
    <row r="150" spans="1:20" x14ac:dyDescent="0.3">
      <c r="E150" s="1"/>
      <c r="F150" s="1"/>
      <c r="G150" s="1"/>
      <c r="I150" s="1"/>
      <c r="K150" s="1"/>
      <c r="L150" t="s">
        <v>374</v>
      </c>
      <c r="M150" t="s">
        <v>375</v>
      </c>
      <c r="N150" s="1" t="s">
        <v>376</v>
      </c>
      <c r="P150" t="s">
        <v>377</v>
      </c>
      <c r="Q150" t="s">
        <v>378</v>
      </c>
      <c r="R150" s="1" t="s">
        <v>379</v>
      </c>
    </row>
    <row r="151" spans="1:20" x14ac:dyDescent="0.3">
      <c r="A151" t="s">
        <v>380</v>
      </c>
      <c r="E151" s="1"/>
      <c r="F151" s="1"/>
      <c r="G151" s="1"/>
      <c r="I151" s="1"/>
      <c r="K151" s="1"/>
      <c r="L151" t="s">
        <v>449</v>
      </c>
      <c r="M151" t="s">
        <v>449</v>
      </c>
      <c r="N151" s="1" t="s">
        <v>382</v>
      </c>
      <c r="P151" s="1" t="s">
        <v>450</v>
      </c>
      <c r="Q151" t="s">
        <v>450</v>
      </c>
      <c r="R151" s="1" t="s">
        <v>382</v>
      </c>
      <c r="T151" s="1"/>
    </row>
    <row r="152" spans="1:20" x14ac:dyDescent="0.3">
      <c r="A152" t="s">
        <v>384</v>
      </c>
      <c r="E152" s="1"/>
      <c r="F152" s="1"/>
      <c r="G152" s="1"/>
      <c r="I152" s="1"/>
      <c r="K152" s="1"/>
      <c r="L152" t="s">
        <v>449</v>
      </c>
      <c r="M152" t="s">
        <v>449</v>
      </c>
      <c r="N152" s="1" t="s">
        <v>382</v>
      </c>
      <c r="P152" t="s">
        <v>450</v>
      </c>
      <c r="Q152" t="s">
        <v>450</v>
      </c>
      <c r="R152" s="1" t="s">
        <v>382</v>
      </c>
    </row>
    <row r="153" spans="1:20" x14ac:dyDescent="0.3">
      <c r="A153" t="s">
        <v>391</v>
      </c>
      <c r="E153" s="1"/>
      <c r="F153" s="1"/>
      <c r="G153" s="1"/>
      <c r="I153" s="1"/>
      <c r="K153" s="1"/>
      <c r="M153" t="s">
        <v>380</v>
      </c>
      <c r="N153" s="1">
        <v>8988</v>
      </c>
      <c r="Q153" t="s">
        <v>392</v>
      </c>
      <c r="R153" s="1">
        <v>8988</v>
      </c>
    </row>
    <row r="154" spans="1:20" x14ac:dyDescent="0.3">
      <c r="E154" s="1"/>
      <c r="F154" s="1"/>
      <c r="G154" s="1"/>
      <c r="I154" s="1"/>
      <c r="K154" s="1"/>
    </row>
    <row r="155" spans="1:20" x14ac:dyDescent="0.3">
      <c r="E155" s="1"/>
      <c r="F155" s="1"/>
      <c r="G155" s="1"/>
      <c r="I155" s="1"/>
      <c r="K155" s="1"/>
      <c r="N155" s="1"/>
      <c r="R155" s="1"/>
    </row>
    <row r="156" spans="1:20" x14ac:dyDescent="0.3">
      <c r="E156" s="1"/>
      <c r="F156" s="1"/>
      <c r="G156" s="1"/>
      <c r="I156" s="1"/>
      <c r="K156" s="1"/>
    </row>
    <row r="157" spans="1:20" x14ac:dyDescent="0.3">
      <c r="E157" s="1"/>
      <c r="F157" s="1"/>
      <c r="G157" s="1"/>
      <c r="I157" s="1"/>
      <c r="J157" s="1"/>
      <c r="K157" s="1"/>
    </row>
    <row r="158" spans="1:20" x14ac:dyDescent="0.3">
      <c r="E158" s="1"/>
      <c r="F158" s="1"/>
      <c r="G158" s="1"/>
      <c r="I158" s="1"/>
      <c r="K158" s="1"/>
    </row>
    <row r="159" spans="1:20" x14ac:dyDescent="0.3">
      <c r="E159" s="1"/>
      <c r="F159" s="1"/>
      <c r="G159" s="1"/>
      <c r="I159" s="1"/>
      <c r="K159" s="1"/>
    </row>
    <row r="160" spans="1:20" x14ac:dyDescent="0.3">
      <c r="E160" s="1"/>
      <c r="F160" s="1"/>
      <c r="G160" s="1"/>
      <c r="I160" s="1"/>
      <c r="K160" s="1"/>
    </row>
    <row r="161" spans="5:18" x14ac:dyDescent="0.3">
      <c r="E161" s="1"/>
      <c r="F161" s="1"/>
      <c r="G161" s="1"/>
      <c r="I161" s="1"/>
      <c r="K161" s="1"/>
    </row>
    <row r="162" spans="5:18" x14ac:dyDescent="0.3">
      <c r="E162" s="1"/>
      <c r="F162" s="1"/>
      <c r="G162" s="1"/>
      <c r="I162" s="1"/>
      <c r="K162" s="1"/>
    </row>
    <row r="163" spans="5:18" x14ac:dyDescent="0.3">
      <c r="N163" s="1"/>
      <c r="R163" s="1"/>
    </row>
    <row r="164" spans="5:18" x14ac:dyDescent="0.3">
      <c r="N164" s="1"/>
      <c r="R164" s="1"/>
    </row>
    <row r="165" spans="5:18" x14ac:dyDescent="0.3">
      <c r="N165" s="1"/>
      <c r="R165" s="1"/>
    </row>
    <row r="166" spans="5:18" x14ac:dyDescent="0.3">
      <c r="N166" s="1"/>
      <c r="R166" s="1"/>
    </row>
    <row r="167" spans="5:18" x14ac:dyDescent="0.3">
      <c r="N167" s="1"/>
      <c r="R167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</row>
    <row r="178" spans="5:18" x14ac:dyDescent="0.3">
      <c r="E178" s="1"/>
      <c r="F178" s="1"/>
      <c r="G178" s="1"/>
      <c r="I178" s="1"/>
      <c r="K178" s="1"/>
    </row>
    <row r="179" spans="5:18" x14ac:dyDescent="0.3">
      <c r="E179" s="1"/>
      <c r="F179" s="1"/>
      <c r="G179" s="1"/>
      <c r="I179" s="1"/>
      <c r="K179" s="1"/>
    </row>
    <row r="180" spans="5:18" x14ac:dyDescent="0.3">
      <c r="E180" s="1"/>
      <c r="F180" s="1"/>
      <c r="G180" s="1"/>
      <c r="I180" s="1"/>
      <c r="K180" s="1"/>
    </row>
    <row r="185" spans="5:18" x14ac:dyDescent="0.3">
      <c r="N185" s="1"/>
      <c r="R185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zoomScaleNormal="100" workbookViewId="0">
      <selection activeCell="E10" sqref="E10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13"/>
      <c r="D2" s="183" t="s">
        <v>150</v>
      </c>
      <c r="E2" s="184"/>
      <c r="F2" s="185"/>
      <c r="H2" s="13"/>
    </row>
    <row r="3" spans="2:8" ht="15" customHeight="1" thickBot="1" x14ac:dyDescent="0.35">
      <c r="B3" s="13"/>
      <c r="C3" s="13"/>
      <c r="D3" s="11" t="s">
        <v>108</v>
      </c>
      <c r="E3" s="7" t="s">
        <v>109</v>
      </c>
      <c r="F3" s="12" t="s">
        <v>110</v>
      </c>
      <c r="H3" s="13"/>
    </row>
    <row r="4" spans="2:8" ht="15" customHeight="1" x14ac:dyDescent="0.3">
      <c r="B4" s="13"/>
      <c r="C4" s="8" t="e">
        <f>D$2&amp;#REF!</f>
        <v>#REF!</v>
      </c>
      <c r="D4" s="16" t="s">
        <v>29</v>
      </c>
      <c r="E4" s="17" t="s">
        <v>30</v>
      </c>
      <c r="F4" s="16">
        <v>2</v>
      </c>
      <c r="H4" s="8" t="e">
        <f>#REF!&amp;#REF!</f>
        <v>#REF!</v>
      </c>
    </row>
    <row r="5" spans="2:8" ht="15" customHeight="1" x14ac:dyDescent="0.3">
      <c r="B5" s="13"/>
      <c r="C5" s="9" t="e">
        <f>D$2&amp;#REF!</f>
        <v>#REF!</v>
      </c>
      <c r="D5" s="18" t="s">
        <v>117</v>
      </c>
      <c r="E5" s="19" t="s">
        <v>36</v>
      </c>
      <c r="F5" s="18">
        <v>2</v>
      </c>
      <c r="H5" s="9" t="e">
        <f>#REF!&amp;#REF!</f>
        <v>#REF!</v>
      </c>
    </row>
    <row r="6" spans="2:8" ht="15" customHeight="1" x14ac:dyDescent="0.3">
      <c r="B6" s="13"/>
      <c r="C6" s="9" t="e">
        <f>D$2&amp;#REF!</f>
        <v>#REF!</v>
      </c>
      <c r="D6" s="18" t="s">
        <v>265</v>
      </c>
      <c r="E6" s="19" t="s">
        <v>335</v>
      </c>
      <c r="F6" s="18">
        <v>2</v>
      </c>
      <c r="H6" s="9" t="e">
        <f>#REF!&amp;#REF!</f>
        <v>#REF!</v>
      </c>
    </row>
    <row r="7" spans="2:8" ht="15" customHeight="1" x14ac:dyDescent="0.3">
      <c r="B7" s="13"/>
      <c r="C7" s="9" t="e">
        <f>D$2&amp;#REF!</f>
        <v>#REF!</v>
      </c>
      <c r="D7" s="18" t="s">
        <v>175</v>
      </c>
      <c r="E7" s="19" t="s">
        <v>336</v>
      </c>
      <c r="F7" s="18">
        <v>2</v>
      </c>
      <c r="H7" s="9" t="e">
        <f>#REF!&amp;#REF!</f>
        <v>#REF!</v>
      </c>
    </row>
    <row r="8" spans="2:8" ht="15" customHeight="1" x14ac:dyDescent="0.3">
      <c r="B8" s="13"/>
      <c r="C8" s="9" t="e">
        <f>D$2&amp;#REF!</f>
        <v>#REF!</v>
      </c>
      <c r="D8" s="18" t="s">
        <v>15</v>
      </c>
      <c r="E8" s="19" t="s">
        <v>337</v>
      </c>
      <c r="F8" s="18">
        <v>2</v>
      </c>
      <c r="H8" s="9" t="e">
        <f>#REF!&amp;#REF!</f>
        <v>#REF!</v>
      </c>
    </row>
    <row r="9" spans="2:8" ht="15" customHeight="1" x14ac:dyDescent="0.3">
      <c r="B9" s="13"/>
      <c r="C9" s="9" t="e">
        <f>D$2&amp;#REF!</f>
        <v>#REF!</v>
      </c>
      <c r="D9" s="18"/>
      <c r="E9" s="19"/>
      <c r="F9" s="18"/>
      <c r="H9" s="9" t="e">
        <f>#REF!&amp;#REF!</f>
        <v>#REF!</v>
      </c>
    </row>
    <row r="10" spans="2:8" ht="15" customHeight="1" x14ac:dyDescent="0.3">
      <c r="B10" s="13"/>
      <c r="C10" s="9" t="e">
        <f>D$2&amp;#REF!</f>
        <v>#REF!</v>
      </c>
      <c r="D10" s="18"/>
      <c r="E10" s="19"/>
      <c r="F10" s="18"/>
      <c r="H10" s="9" t="e">
        <f>#REF!&amp;#REF!</f>
        <v>#REF!</v>
      </c>
    </row>
    <row r="11" spans="2:8" ht="15" customHeight="1" x14ac:dyDescent="0.3">
      <c r="B11" s="13"/>
      <c r="C11" s="9" t="e">
        <f>D$2&amp;#REF!</f>
        <v>#REF!</v>
      </c>
      <c r="D11" s="18"/>
      <c r="E11" s="19"/>
      <c r="F11" s="18"/>
      <c r="H11" s="9" t="e">
        <f>#REF!&amp;#REF!</f>
        <v>#REF!</v>
      </c>
    </row>
    <row r="12" spans="2:8" ht="15" customHeight="1" x14ac:dyDescent="0.3">
      <c r="B12" s="13"/>
      <c r="C12" s="9" t="e">
        <f>D$2&amp;#REF!</f>
        <v>#REF!</v>
      </c>
      <c r="D12" s="18"/>
      <c r="E12" s="19"/>
      <c r="F12" s="18"/>
      <c r="H12" s="9" t="e">
        <f>#REF!&amp;#REF!</f>
        <v>#REF!</v>
      </c>
    </row>
    <row r="13" spans="2:8" ht="15" customHeight="1" thickBot="1" x14ac:dyDescent="0.35">
      <c r="B13" s="13"/>
      <c r="C13" s="10" t="e">
        <f>D$2&amp;#REF!</f>
        <v>#REF!</v>
      </c>
      <c r="D13" s="20"/>
      <c r="E13" s="21"/>
      <c r="F13" s="20"/>
      <c r="H13" s="10" t="e">
        <f>#REF!&amp;#REF!</f>
        <v>#REF!</v>
      </c>
    </row>
    <row r="14" spans="2:8" ht="15" customHeight="1" x14ac:dyDescent="0.3"/>
  </sheetData>
  <sheetProtection algorithmName="SHA-512" hashValue="KKASARsZ5lF5IKVLZ2PCRRGEZ4bqJVR/pDVFMtapOiVgzL1LNqBmibVV+nrfGVaTACEclYZrMJERBdZUvE3+4A==" saltValue="iXaXypPMFwxmZ5M8b6Z4nw==" spinCount="100000" sheet="1" objects="1" scenarios="1"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525780</xdr:colOff>
                <xdr:row>3</xdr:row>
                <xdr:rowOff>167640</xdr:rowOff>
              </from>
              <to>
                <xdr:col>11</xdr:col>
                <xdr:colOff>373380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132"/>
  <sheetViews>
    <sheetView showGridLines="0" zoomScale="115" zoomScaleNormal="115" workbookViewId="0">
      <pane ySplit="1" topLeftCell="A87" activePane="bottomLeft" state="frozen"/>
      <selection pane="bottomLeft" activeCell="E98" sqref="E98"/>
    </sheetView>
  </sheetViews>
  <sheetFormatPr baseColWidth="10" defaultColWidth="11.109375" defaultRowHeight="14.4" x14ac:dyDescent="0.3"/>
  <cols>
    <col min="1" max="1" width="10.44140625" style="64" customWidth="1"/>
    <col min="2" max="2" width="30.88671875" style="54" customWidth="1"/>
    <col min="3" max="3" width="10.44140625" style="64" customWidth="1"/>
    <col min="4" max="4" width="1.88671875" style="64" customWidth="1"/>
    <col min="5" max="5" width="10.44140625" style="64" customWidth="1"/>
    <col min="6" max="6" width="30.88671875" style="54" customWidth="1"/>
    <col min="7" max="7" width="1.88671875" style="64" customWidth="1"/>
    <col min="8" max="8" width="10.44140625" style="64" customWidth="1"/>
    <col min="9" max="9" width="34.21875" style="54" customWidth="1"/>
    <col min="10" max="16384" width="11.109375" style="54"/>
  </cols>
  <sheetData>
    <row r="1" spans="1:9" ht="15" thickBot="1" x14ac:dyDescent="0.35">
      <c r="A1" s="11" t="s">
        <v>111</v>
      </c>
      <c r="B1" s="7" t="s">
        <v>109</v>
      </c>
      <c r="C1" s="11" t="s">
        <v>12</v>
      </c>
      <c r="D1" s="109"/>
      <c r="E1" s="11" t="s">
        <v>111</v>
      </c>
      <c r="F1" s="53" t="s">
        <v>109</v>
      </c>
      <c r="G1" s="109"/>
      <c r="H1" s="11" t="s">
        <v>111</v>
      </c>
      <c r="I1" s="53" t="s">
        <v>109</v>
      </c>
    </row>
    <row r="2" spans="1:9" x14ac:dyDescent="0.3">
      <c r="A2" s="55" t="s">
        <v>130</v>
      </c>
      <c r="B2" s="56" t="s">
        <v>179</v>
      </c>
      <c r="C2" s="55"/>
      <c r="D2" s="110"/>
      <c r="E2" s="55" t="s">
        <v>94</v>
      </c>
      <c r="F2" s="57" t="s">
        <v>95</v>
      </c>
      <c r="G2" s="110"/>
      <c r="H2" s="55" t="s">
        <v>129</v>
      </c>
      <c r="I2" s="57" t="s">
        <v>179</v>
      </c>
    </row>
    <row r="3" spans="1:9" x14ac:dyDescent="0.3">
      <c r="A3" s="58" t="s">
        <v>180</v>
      </c>
      <c r="B3" s="59" t="s">
        <v>181</v>
      </c>
      <c r="C3" s="58"/>
      <c r="D3" s="110"/>
      <c r="E3" s="58" t="s">
        <v>316</v>
      </c>
      <c r="F3" s="60" t="s">
        <v>178</v>
      </c>
      <c r="G3" s="110"/>
      <c r="H3" s="58" t="s">
        <v>120</v>
      </c>
      <c r="I3" s="60" t="s">
        <v>323</v>
      </c>
    </row>
    <row r="4" spans="1:9" x14ac:dyDescent="0.3">
      <c r="A4" s="58" t="s">
        <v>154</v>
      </c>
      <c r="B4" s="59" t="s">
        <v>162</v>
      </c>
      <c r="C4" s="58"/>
      <c r="D4" s="110"/>
      <c r="E4" s="58" t="s">
        <v>317</v>
      </c>
      <c r="F4" s="60" t="s">
        <v>162</v>
      </c>
      <c r="G4" s="110"/>
      <c r="H4" s="58"/>
      <c r="I4" s="60"/>
    </row>
    <row r="5" spans="1:9" x14ac:dyDescent="0.3">
      <c r="A5" s="58" t="s">
        <v>182</v>
      </c>
      <c r="B5" s="59" t="s">
        <v>183</v>
      </c>
      <c r="C5" s="58"/>
      <c r="D5" s="110"/>
      <c r="E5" s="58" t="s">
        <v>134</v>
      </c>
      <c r="F5" s="60" t="s">
        <v>135</v>
      </c>
      <c r="G5" s="110"/>
      <c r="H5" s="58"/>
      <c r="I5" s="60"/>
    </row>
    <row r="6" spans="1:9" x14ac:dyDescent="0.3">
      <c r="A6" s="58" t="s">
        <v>24</v>
      </c>
      <c r="B6" s="59" t="s">
        <v>25</v>
      </c>
      <c r="C6" s="58"/>
      <c r="D6" s="110"/>
      <c r="E6" s="58" t="s">
        <v>115</v>
      </c>
      <c r="F6" s="60" t="s">
        <v>116</v>
      </c>
      <c r="G6" s="110"/>
      <c r="H6" s="58"/>
      <c r="I6" s="60"/>
    </row>
    <row r="7" spans="1:9" x14ac:dyDescent="0.3">
      <c r="A7" s="58" t="s">
        <v>184</v>
      </c>
      <c r="B7" s="59" t="s">
        <v>185</v>
      </c>
      <c r="C7" s="58"/>
      <c r="D7" s="110"/>
      <c r="E7" s="58" t="s">
        <v>152</v>
      </c>
      <c r="F7" s="60" t="s">
        <v>185</v>
      </c>
      <c r="G7" s="110"/>
      <c r="H7" s="58"/>
      <c r="I7" s="60"/>
    </row>
    <row r="8" spans="1:9" x14ac:dyDescent="0.3">
      <c r="A8" s="58" t="s">
        <v>156</v>
      </c>
      <c r="B8" s="59" t="s">
        <v>164</v>
      </c>
      <c r="C8" s="58"/>
      <c r="D8" s="110"/>
      <c r="E8" s="58" t="s">
        <v>318</v>
      </c>
      <c r="F8" s="60" t="s">
        <v>164</v>
      </c>
      <c r="G8" s="110"/>
      <c r="H8" s="58"/>
      <c r="I8" s="60"/>
    </row>
    <row r="9" spans="1:9" x14ac:dyDescent="0.3">
      <c r="A9" s="58" t="s">
        <v>35</v>
      </c>
      <c r="B9" s="59" t="s">
        <v>186</v>
      </c>
      <c r="C9" s="58"/>
      <c r="D9" s="110"/>
      <c r="E9" s="58" t="s">
        <v>117</v>
      </c>
      <c r="F9" s="60" t="s">
        <v>36</v>
      </c>
      <c r="G9" s="110"/>
      <c r="H9" s="58"/>
      <c r="I9" s="60"/>
    </row>
    <row r="10" spans="1:9" x14ac:dyDescent="0.3">
      <c r="A10" s="58" t="s">
        <v>142</v>
      </c>
      <c r="B10" s="59" t="s">
        <v>143</v>
      </c>
      <c r="C10" s="58"/>
      <c r="D10" s="110"/>
      <c r="E10" s="58" t="s">
        <v>319</v>
      </c>
      <c r="F10" s="60" t="s">
        <v>143</v>
      </c>
      <c r="G10" s="110"/>
      <c r="H10" s="58"/>
      <c r="I10" s="60"/>
    </row>
    <row r="11" spans="1:9" x14ac:dyDescent="0.3">
      <c r="A11" s="58" t="s">
        <v>49</v>
      </c>
      <c r="B11" s="59" t="s">
        <v>50</v>
      </c>
      <c r="C11" s="58"/>
      <c r="D11" s="110"/>
      <c r="E11" s="58" t="s">
        <v>320</v>
      </c>
      <c r="F11" s="60" t="s">
        <v>50</v>
      </c>
      <c r="G11" s="110"/>
      <c r="H11" s="58"/>
      <c r="I11" s="60"/>
    </row>
    <row r="12" spans="1:9" x14ac:dyDescent="0.3">
      <c r="A12" s="58" t="s">
        <v>146</v>
      </c>
      <c r="B12" s="59" t="s">
        <v>147</v>
      </c>
      <c r="C12" s="58"/>
      <c r="D12" s="110"/>
      <c r="E12" s="58" t="s">
        <v>321</v>
      </c>
      <c r="F12" s="60" t="s">
        <v>332</v>
      </c>
      <c r="G12" s="110"/>
      <c r="H12" s="58"/>
      <c r="I12" s="60"/>
    </row>
    <row r="13" spans="1:9" x14ac:dyDescent="0.3">
      <c r="A13" s="58" t="s">
        <v>168</v>
      </c>
      <c r="B13" s="59" t="s">
        <v>167</v>
      </c>
      <c r="C13" s="58"/>
      <c r="D13" s="110"/>
      <c r="E13" s="58" t="s">
        <v>322</v>
      </c>
      <c r="F13" s="60" t="s">
        <v>167</v>
      </c>
      <c r="G13" s="110"/>
      <c r="H13" s="58"/>
      <c r="I13" s="60"/>
    </row>
    <row r="14" spans="1:9" x14ac:dyDescent="0.3">
      <c r="A14" s="58" t="s">
        <v>122</v>
      </c>
      <c r="B14" s="59" t="s">
        <v>61</v>
      </c>
      <c r="C14" s="58"/>
      <c r="D14" s="110"/>
      <c r="E14" s="58" t="s">
        <v>60</v>
      </c>
      <c r="F14" s="60" t="s">
        <v>333</v>
      </c>
      <c r="G14" s="110"/>
      <c r="H14" s="58" t="s">
        <v>251</v>
      </c>
      <c r="I14" s="59" t="s">
        <v>252</v>
      </c>
    </row>
    <row r="15" spans="1:9" x14ac:dyDescent="0.3">
      <c r="A15" s="58" t="s">
        <v>121</v>
      </c>
      <c r="B15" s="59" t="s">
        <v>187</v>
      </c>
      <c r="C15" s="58"/>
      <c r="D15" s="110"/>
      <c r="E15" s="58"/>
      <c r="F15" s="60"/>
      <c r="G15" s="110"/>
      <c r="H15" s="58"/>
      <c r="I15" s="60"/>
    </row>
    <row r="16" spans="1:9" x14ac:dyDescent="0.3">
      <c r="A16" s="58" t="s">
        <v>153</v>
      </c>
      <c r="B16" s="59" t="s">
        <v>161</v>
      </c>
      <c r="C16" s="58"/>
      <c r="D16" s="110"/>
      <c r="E16" s="58"/>
      <c r="F16" s="60"/>
      <c r="G16" s="110"/>
      <c r="H16" s="58"/>
      <c r="I16" s="60"/>
    </row>
    <row r="17" spans="1:9" x14ac:dyDescent="0.3">
      <c r="A17" s="58" t="s">
        <v>188</v>
      </c>
      <c r="B17" s="59" t="s">
        <v>189</v>
      </c>
      <c r="C17" s="58"/>
      <c r="D17" s="110"/>
      <c r="E17" s="58"/>
      <c r="F17" s="60"/>
      <c r="G17" s="110"/>
      <c r="H17" s="58"/>
      <c r="I17" s="60"/>
    </row>
    <row r="18" spans="1:9" x14ac:dyDescent="0.3">
      <c r="A18" s="58" t="s">
        <v>190</v>
      </c>
      <c r="B18" s="59" t="s">
        <v>191</v>
      </c>
      <c r="C18" s="58"/>
      <c r="D18" s="110"/>
      <c r="E18" s="58"/>
      <c r="F18" s="60"/>
      <c r="G18" s="110"/>
      <c r="H18" s="58"/>
      <c r="I18" s="60"/>
    </row>
    <row r="19" spans="1:9" x14ac:dyDescent="0.3">
      <c r="A19" s="58" t="s">
        <v>15</v>
      </c>
      <c r="B19" s="59" t="s">
        <v>192</v>
      </c>
      <c r="C19" s="58"/>
      <c r="D19" s="110"/>
      <c r="E19" s="58"/>
      <c r="F19" s="60"/>
      <c r="G19" s="110"/>
      <c r="H19" s="58"/>
      <c r="I19" s="60"/>
    </row>
    <row r="20" spans="1:9" x14ac:dyDescent="0.3">
      <c r="A20" s="58" t="s">
        <v>45</v>
      </c>
      <c r="B20" s="59" t="s">
        <v>46</v>
      </c>
      <c r="C20" s="58"/>
      <c r="D20" s="110"/>
      <c r="E20" s="58"/>
      <c r="F20" s="60"/>
      <c r="G20" s="110"/>
      <c r="H20" s="58"/>
      <c r="I20" s="60"/>
    </row>
    <row r="21" spans="1:9" x14ac:dyDescent="0.3">
      <c r="A21" s="58" t="s">
        <v>193</v>
      </c>
      <c r="B21" s="59" t="s">
        <v>194</v>
      </c>
      <c r="C21" s="58"/>
      <c r="D21" s="110"/>
      <c r="E21" s="58"/>
      <c r="F21" s="60"/>
      <c r="G21" s="110"/>
      <c r="H21" s="58"/>
      <c r="I21" s="60"/>
    </row>
    <row r="22" spans="1:9" x14ac:dyDescent="0.3">
      <c r="A22" s="58" t="s">
        <v>16</v>
      </c>
      <c r="B22" s="59" t="s">
        <v>17</v>
      </c>
      <c r="C22" s="58"/>
      <c r="D22" s="110"/>
      <c r="E22" s="58" t="s">
        <v>112</v>
      </c>
      <c r="F22" s="59" t="s">
        <v>328</v>
      </c>
      <c r="G22" s="110"/>
      <c r="H22" s="58"/>
      <c r="I22" s="60"/>
    </row>
    <row r="23" spans="1:9" x14ac:dyDescent="0.3">
      <c r="A23" s="58" t="s">
        <v>195</v>
      </c>
      <c r="B23" s="59" t="s">
        <v>196</v>
      </c>
      <c r="C23" s="58"/>
      <c r="D23" s="110"/>
      <c r="E23" s="58"/>
      <c r="F23" s="60"/>
      <c r="G23" s="110"/>
      <c r="H23" s="58"/>
      <c r="I23" s="60"/>
    </row>
    <row r="24" spans="1:9" x14ac:dyDescent="0.3">
      <c r="A24" s="58" t="s">
        <v>18</v>
      </c>
      <c r="B24" s="59" t="s">
        <v>19</v>
      </c>
      <c r="C24" s="58"/>
      <c r="D24" s="110"/>
      <c r="E24" s="58" t="s">
        <v>113</v>
      </c>
      <c r="F24" s="59" t="s">
        <v>329</v>
      </c>
      <c r="G24" s="110"/>
      <c r="H24" s="58"/>
      <c r="I24" s="60"/>
    </row>
    <row r="25" spans="1:9" x14ac:dyDescent="0.3">
      <c r="A25" s="58" t="s">
        <v>27</v>
      </c>
      <c r="B25" s="59" t="s">
        <v>28</v>
      </c>
      <c r="C25" s="58"/>
      <c r="D25" s="110"/>
      <c r="E25" s="58"/>
      <c r="F25" s="60"/>
      <c r="G25" s="110"/>
      <c r="H25" s="58"/>
      <c r="I25" s="60"/>
    </row>
    <row r="26" spans="1:9" x14ac:dyDescent="0.3">
      <c r="A26" s="58" t="s">
        <v>197</v>
      </c>
      <c r="B26" s="59" t="s">
        <v>198</v>
      </c>
      <c r="C26" s="58"/>
      <c r="D26" s="110"/>
      <c r="E26" s="58"/>
      <c r="F26" s="60"/>
      <c r="G26" s="110"/>
      <c r="H26" s="58"/>
      <c r="I26" s="60"/>
    </row>
    <row r="27" spans="1:9" x14ac:dyDescent="0.3">
      <c r="A27" s="58" t="s">
        <v>51</v>
      </c>
      <c r="B27" s="59" t="s">
        <v>52</v>
      </c>
      <c r="C27" s="58"/>
      <c r="D27" s="110"/>
      <c r="E27" s="58"/>
      <c r="F27" s="60"/>
      <c r="G27" s="110"/>
      <c r="H27" s="58"/>
      <c r="I27" s="60"/>
    </row>
    <row r="28" spans="1:9" x14ac:dyDescent="0.3">
      <c r="A28" s="58" t="s">
        <v>71</v>
      </c>
      <c r="B28" s="59" t="s">
        <v>72</v>
      </c>
      <c r="C28" s="58"/>
      <c r="D28" s="110"/>
      <c r="E28" s="58"/>
      <c r="F28" s="60"/>
      <c r="G28" s="110"/>
      <c r="H28" s="58"/>
      <c r="I28" s="60"/>
    </row>
    <row r="29" spans="1:9" x14ac:dyDescent="0.3">
      <c r="A29" s="58" t="s">
        <v>199</v>
      </c>
      <c r="B29" s="59" t="s">
        <v>200</v>
      </c>
      <c r="C29" s="58"/>
      <c r="D29" s="110"/>
      <c r="E29" s="58"/>
      <c r="F29" s="60"/>
      <c r="G29" s="110"/>
      <c r="H29" s="58"/>
      <c r="I29" s="60"/>
    </row>
    <row r="30" spans="1:9" x14ac:dyDescent="0.3">
      <c r="A30" s="58" t="s">
        <v>41</v>
      </c>
      <c r="B30" s="59" t="s">
        <v>42</v>
      </c>
      <c r="C30" s="58"/>
      <c r="D30" s="110"/>
      <c r="E30" s="58"/>
      <c r="F30" s="60"/>
      <c r="G30" s="110"/>
      <c r="H30" s="58"/>
      <c r="I30" s="60"/>
    </row>
    <row r="31" spans="1:9" x14ac:dyDescent="0.3">
      <c r="A31" s="58" t="s">
        <v>201</v>
      </c>
      <c r="B31" s="59" t="s">
        <v>202</v>
      </c>
      <c r="C31" s="58"/>
      <c r="D31" s="110"/>
      <c r="E31" s="58"/>
      <c r="F31" s="60"/>
      <c r="G31" s="110"/>
      <c r="H31" s="58"/>
      <c r="I31" s="60"/>
    </row>
    <row r="32" spans="1:9" x14ac:dyDescent="0.3">
      <c r="A32" s="58" t="s">
        <v>64</v>
      </c>
      <c r="B32" s="59" t="s">
        <v>65</v>
      </c>
      <c r="C32" s="58"/>
      <c r="D32" s="110"/>
      <c r="E32" s="58"/>
      <c r="F32" s="60"/>
      <c r="G32" s="110"/>
      <c r="H32" s="58"/>
      <c r="I32" s="60"/>
    </row>
    <row r="33" spans="1:9" x14ac:dyDescent="0.3">
      <c r="A33" s="58" t="s">
        <v>126</v>
      </c>
      <c r="B33" s="59" t="s">
        <v>127</v>
      </c>
      <c r="C33" s="58"/>
      <c r="D33" s="110"/>
      <c r="E33" s="58"/>
      <c r="F33" s="60"/>
      <c r="G33" s="110"/>
      <c r="H33" s="58"/>
      <c r="I33" s="60"/>
    </row>
    <row r="34" spans="1:9" x14ac:dyDescent="0.3">
      <c r="A34" s="58" t="s">
        <v>73</v>
      </c>
      <c r="B34" s="59" t="s">
        <v>203</v>
      </c>
      <c r="C34" s="58"/>
      <c r="D34" s="110"/>
      <c r="E34" s="58"/>
      <c r="F34" s="60"/>
      <c r="G34" s="110"/>
      <c r="H34" s="58"/>
      <c r="I34" s="60"/>
    </row>
    <row r="35" spans="1:9" x14ac:dyDescent="0.3">
      <c r="A35" s="58" t="s">
        <v>204</v>
      </c>
      <c r="B35" s="59" t="s">
        <v>205</v>
      </c>
      <c r="C35" s="58"/>
      <c r="D35" s="110"/>
      <c r="E35" s="58"/>
      <c r="F35" s="60"/>
      <c r="G35" s="110"/>
      <c r="H35" s="58"/>
      <c r="I35" s="60"/>
    </row>
    <row r="36" spans="1:9" x14ac:dyDescent="0.3">
      <c r="A36" s="58" t="s">
        <v>125</v>
      </c>
      <c r="B36" s="59" t="s">
        <v>74</v>
      </c>
      <c r="C36" s="58"/>
      <c r="D36" s="110"/>
      <c r="E36" s="58"/>
      <c r="F36" s="60"/>
      <c r="G36" s="110"/>
      <c r="H36" s="58"/>
      <c r="I36" s="60"/>
    </row>
    <row r="37" spans="1:9" x14ac:dyDescent="0.3">
      <c r="A37" s="58" t="s">
        <v>171</v>
      </c>
      <c r="B37" s="59" t="s">
        <v>172</v>
      </c>
      <c r="C37" s="58"/>
      <c r="D37" s="110"/>
      <c r="E37" s="58"/>
      <c r="F37" s="60"/>
      <c r="G37" s="110"/>
      <c r="H37" s="58"/>
      <c r="I37" s="60"/>
    </row>
    <row r="38" spans="1:9" x14ac:dyDescent="0.3">
      <c r="A38" s="58" t="s">
        <v>114</v>
      </c>
      <c r="B38" s="59" t="s">
        <v>20</v>
      </c>
      <c r="C38" s="58"/>
      <c r="D38" s="110"/>
      <c r="E38" s="58" t="s">
        <v>207</v>
      </c>
      <c r="F38" s="59" t="s">
        <v>334</v>
      </c>
      <c r="G38" s="110"/>
      <c r="H38" s="58"/>
      <c r="I38" s="60"/>
    </row>
    <row r="39" spans="1:9" x14ac:dyDescent="0.3">
      <c r="A39" s="58" t="s">
        <v>21</v>
      </c>
      <c r="B39" s="59" t="s">
        <v>206</v>
      </c>
      <c r="C39" s="58"/>
      <c r="D39" s="110"/>
      <c r="E39" s="58"/>
      <c r="F39" s="60"/>
      <c r="G39" s="110"/>
      <c r="H39" s="58"/>
      <c r="I39" s="60"/>
    </row>
    <row r="40" spans="1:9" x14ac:dyDescent="0.3">
      <c r="A40" s="58" t="s">
        <v>75</v>
      </c>
      <c r="B40" s="59" t="s">
        <v>76</v>
      </c>
      <c r="C40" s="58"/>
      <c r="D40" s="110"/>
      <c r="E40" s="58"/>
      <c r="F40" s="60"/>
      <c r="G40" s="110"/>
      <c r="H40" s="58"/>
      <c r="I40" s="60"/>
    </row>
    <row r="41" spans="1:9" x14ac:dyDescent="0.3">
      <c r="A41" s="58" t="s">
        <v>208</v>
      </c>
      <c r="B41" s="59" t="s">
        <v>209</v>
      </c>
      <c r="C41" s="58"/>
      <c r="D41" s="110"/>
      <c r="E41" s="58"/>
      <c r="F41" s="60"/>
      <c r="G41" s="110"/>
      <c r="H41" s="58"/>
      <c r="I41" s="60"/>
    </row>
    <row r="42" spans="1:9" x14ac:dyDescent="0.3">
      <c r="A42" s="58" t="s">
        <v>210</v>
      </c>
      <c r="B42" s="59" t="s">
        <v>211</v>
      </c>
      <c r="C42" s="58"/>
      <c r="D42" s="110"/>
      <c r="E42" s="58" t="s">
        <v>212</v>
      </c>
      <c r="F42" s="59" t="s">
        <v>77</v>
      </c>
      <c r="G42" s="58"/>
      <c r="H42" s="58"/>
      <c r="I42" s="60"/>
    </row>
    <row r="43" spans="1:9" x14ac:dyDescent="0.3">
      <c r="A43" s="58" t="s">
        <v>213</v>
      </c>
      <c r="B43" s="59" t="s">
        <v>214</v>
      </c>
      <c r="C43" s="58"/>
      <c r="D43" s="110"/>
      <c r="E43" s="58"/>
      <c r="F43" s="60"/>
      <c r="G43" s="110"/>
      <c r="H43" s="58"/>
      <c r="I43" s="60"/>
    </row>
    <row r="44" spans="1:9" x14ac:dyDescent="0.3">
      <c r="A44" s="58" t="s">
        <v>215</v>
      </c>
      <c r="B44" s="59" t="s">
        <v>216</v>
      </c>
      <c r="C44" s="58"/>
      <c r="D44" s="110"/>
      <c r="E44" s="58"/>
      <c r="F44" s="60"/>
      <c r="G44" s="110"/>
      <c r="H44" s="58"/>
      <c r="I44" s="60"/>
    </row>
    <row r="45" spans="1:9" x14ac:dyDescent="0.3">
      <c r="A45" s="58" t="s">
        <v>217</v>
      </c>
      <c r="B45" s="59" t="s">
        <v>218</v>
      </c>
      <c r="C45" s="58"/>
      <c r="D45" s="110"/>
      <c r="E45" s="58"/>
      <c r="F45" s="60"/>
      <c r="G45" s="110"/>
      <c r="H45" s="58"/>
      <c r="I45" s="60"/>
    </row>
    <row r="46" spans="1:9" x14ac:dyDescent="0.3">
      <c r="A46" s="58" t="s">
        <v>219</v>
      </c>
      <c r="B46" s="59" t="s">
        <v>220</v>
      </c>
      <c r="C46" s="58"/>
      <c r="D46" s="110"/>
      <c r="E46" s="58"/>
      <c r="F46" s="60"/>
      <c r="G46" s="110"/>
      <c r="H46" s="58"/>
      <c r="I46" s="60"/>
    </row>
    <row r="47" spans="1:9" x14ac:dyDescent="0.3">
      <c r="A47" s="58" t="s">
        <v>221</v>
      </c>
      <c r="B47" s="59" t="s">
        <v>222</v>
      </c>
      <c r="C47" s="58"/>
      <c r="D47" s="110"/>
      <c r="E47" s="58"/>
      <c r="F47" s="60"/>
      <c r="G47" s="110"/>
      <c r="H47" s="58"/>
      <c r="I47" s="60"/>
    </row>
    <row r="48" spans="1:9" x14ac:dyDescent="0.3">
      <c r="A48" s="58" t="s">
        <v>223</v>
      </c>
      <c r="B48" s="59" t="s">
        <v>224</v>
      </c>
      <c r="C48" s="58"/>
      <c r="D48" s="110"/>
      <c r="E48" s="58"/>
      <c r="F48" s="60"/>
      <c r="G48" s="110"/>
      <c r="H48" s="58"/>
      <c r="I48" s="60"/>
    </row>
    <row r="49" spans="1:9" x14ac:dyDescent="0.3">
      <c r="A49" s="58" t="s">
        <v>225</v>
      </c>
      <c r="B49" s="59" t="s">
        <v>226</v>
      </c>
      <c r="C49" s="58"/>
      <c r="D49" s="110"/>
      <c r="E49" s="58"/>
      <c r="F49" s="60"/>
      <c r="G49" s="110"/>
      <c r="H49" s="58"/>
      <c r="I49" s="60"/>
    </row>
    <row r="50" spans="1:9" x14ac:dyDescent="0.3">
      <c r="A50" s="58" t="s">
        <v>227</v>
      </c>
      <c r="B50" s="59" t="s">
        <v>228</v>
      </c>
      <c r="C50" s="58"/>
      <c r="D50" s="110"/>
      <c r="E50" s="58"/>
      <c r="F50" s="60"/>
      <c r="G50" s="110"/>
      <c r="H50" s="58"/>
      <c r="I50" s="60"/>
    </row>
    <row r="51" spans="1:9" x14ac:dyDescent="0.3">
      <c r="A51" s="58" t="s">
        <v>229</v>
      </c>
      <c r="B51" s="59" t="s">
        <v>230</v>
      </c>
      <c r="C51" s="58"/>
      <c r="D51" s="110"/>
      <c r="E51" s="58"/>
      <c r="F51" s="60"/>
      <c r="G51" s="110"/>
      <c r="H51" s="58"/>
      <c r="I51" s="60"/>
    </row>
    <row r="52" spans="1:9" x14ac:dyDescent="0.3">
      <c r="A52" s="58" t="s">
        <v>231</v>
      </c>
      <c r="B52" s="59" t="s">
        <v>232</v>
      </c>
      <c r="C52" s="58"/>
      <c r="D52" s="110"/>
      <c r="E52" s="58"/>
      <c r="F52" s="60"/>
      <c r="G52" s="110"/>
      <c r="H52" s="58"/>
      <c r="I52" s="60"/>
    </row>
    <row r="53" spans="1:9" x14ac:dyDescent="0.3">
      <c r="A53" s="58" t="s">
        <v>233</v>
      </c>
      <c r="B53" s="59" t="s">
        <v>234</v>
      </c>
      <c r="C53" s="58"/>
      <c r="D53" s="110"/>
      <c r="E53" s="58"/>
      <c r="F53" s="60"/>
      <c r="G53" s="110"/>
      <c r="H53" s="58"/>
      <c r="I53" s="60"/>
    </row>
    <row r="54" spans="1:9" x14ac:dyDescent="0.3">
      <c r="A54" s="58" t="s">
        <v>235</v>
      </c>
      <c r="B54" s="59" t="s">
        <v>236</v>
      </c>
      <c r="C54" s="58"/>
      <c r="D54" s="110"/>
      <c r="E54" s="58"/>
      <c r="F54" s="60"/>
      <c r="G54" s="110"/>
      <c r="H54" s="58"/>
      <c r="I54" s="60"/>
    </row>
    <row r="55" spans="1:9" x14ac:dyDescent="0.3">
      <c r="A55" s="58" t="s">
        <v>237</v>
      </c>
      <c r="B55" s="59" t="s">
        <v>238</v>
      </c>
      <c r="C55" s="58"/>
      <c r="D55" s="110"/>
      <c r="E55" s="58"/>
      <c r="F55" s="60"/>
      <c r="G55" s="110"/>
      <c r="H55" s="58"/>
      <c r="I55" s="60"/>
    </row>
    <row r="56" spans="1:9" x14ac:dyDescent="0.3">
      <c r="A56" s="58" t="s">
        <v>78</v>
      </c>
      <c r="B56" s="59" t="s">
        <v>79</v>
      </c>
      <c r="C56" s="58"/>
      <c r="D56" s="110"/>
      <c r="E56" s="58"/>
      <c r="F56" s="60"/>
      <c r="G56" s="110"/>
      <c r="H56" s="58"/>
      <c r="I56" s="60"/>
    </row>
    <row r="57" spans="1:9" x14ac:dyDescent="0.3">
      <c r="A57" s="58" t="s">
        <v>239</v>
      </c>
      <c r="B57" s="59" t="s">
        <v>240</v>
      </c>
      <c r="C57" s="58"/>
      <c r="D57" s="110"/>
      <c r="E57" s="58"/>
      <c r="F57" s="60"/>
      <c r="G57" s="110"/>
      <c r="H57" s="58"/>
      <c r="I57" s="60"/>
    </row>
    <row r="58" spans="1:9" x14ac:dyDescent="0.3">
      <c r="A58" s="58" t="s">
        <v>22</v>
      </c>
      <c r="B58" s="59" t="s">
        <v>23</v>
      </c>
      <c r="C58" s="58"/>
      <c r="D58" s="110"/>
      <c r="E58" s="58"/>
      <c r="F58" s="60"/>
      <c r="G58" s="110"/>
      <c r="H58" s="58"/>
      <c r="I58" s="60"/>
    </row>
    <row r="59" spans="1:9" x14ac:dyDescent="0.3">
      <c r="A59" s="58" t="s">
        <v>241</v>
      </c>
      <c r="B59" s="59" t="s">
        <v>242</v>
      </c>
      <c r="C59" s="58"/>
      <c r="D59" s="110"/>
      <c r="E59" s="58"/>
      <c r="F59" s="60"/>
      <c r="G59" s="110"/>
      <c r="H59" s="58"/>
      <c r="I59" s="60"/>
    </row>
    <row r="60" spans="1:9" x14ac:dyDescent="0.3">
      <c r="A60" s="58" t="s">
        <v>243</v>
      </c>
      <c r="B60" s="59" t="s">
        <v>244</v>
      </c>
      <c r="C60" s="58"/>
      <c r="D60" s="110"/>
      <c r="E60" s="58"/>
      <c r="F60" s="60"/>
      <c r="G60" s="110"/>
      <c r="H60" s="58"/>
      <c r="I60" s="60"/>
    </row>
    <row r="61" spans="1:9" x14ac:dyDescent="0.3">
      <c r="A61" s="58" t="s">
        <v>245</v>
      </c>
      <c r="B61" s="59" t="s">
        <v>246</v>
      </c>
      <c r="C61" s="58"/>
      <c r="D61" s="110"/>
      <c r="E61" s="58"/>
      <c r="F61" s="60"/>
      <c r="G61" s="110"/>
      <c r="H61" s="58"/>
      <c r="I61" s="60"/>
    </row>
    <row r="62" spans="1:9" x14ac:dyDescent="0.3">
      <c r="A62" s="58" t="s">
        <v>247</v>
      </c>
      <c r="B62" s="59" t="s">
        <v>248</v>
      </c>
      <c r="C62" s="58"/>
      <c r="D62" s="110"/>
      <c r="E62" s="58"/>
      <c r="F62" s="60"/>
      <c r="G62" s="110"/>
      <c r="H62" s="58"/>
      <c r="I62" s="60"/>
    </row>
    <row r="63" spans="1:9" x14ac:dyDescent="0.3">
      <c r="A63" s="58" t="s">
        <v>249</v>
      </c>
      <c r="B63" s="59" t="s">
        <v>250</v>
      </c>
      <c r="C63" s="58"/>
      <c r="D63" s="110"/>
      <c r="E63" s="58"/>
      <c r="F63" s="60"/>
      <c r="G63" s="110"/>
      <c r="H63" s="58"/>
      <c r="I63" s="60"/>
    </row>
    <row r="64" spans="1:9" x14ac:dyDescent="0.3">
      <c r="A64" s="58" t="s">
        <v>253</v>
      </c>
      <c r="B64" s="59" t="s">
        <v>254</v>
      </c>
      <c r="C64" s="58"/>
      <c r="D64" s="110"/>
      <c r="E64" s="58"/>
      <c r="F64" s="60"/>
      <c r="G64" s="110"/>
      <c r="H64" s="58"/>
      <c r="I64" s="60"/>
    </row>
    <row r="65" spans="1:9" x14ac:dyDescent="0.3">
      <c r="A65" s="58" t="s">
        <v>255</v>
      </c>
      <c r="B65" s="59" t="s">
        <v>256</v>
      </c>
      <c r="C65" s="58"/>
      <c r="D65" s="110"/>
      <c r="E65" s="58"/>
      <c r="F65" s="60"/>
      <c r="G65" s="110"/>
      <c r="H65" s="58"/>
      <c r="I65" s="60"/>
    </row>
    <row r="66" spans="1:9" x14ac:dyDescent="0.3">
      <c r="A66" s="58" t="s">
        <v>257</v>
      </c>
      <c r="B66" s="59" t="s">
        <v>258</v>
      </c>
      <c r="C66" s="58"/>
      <c r="D66" s="110"/>
      <c r="E66" s="58"/>
      <c r="F66" s="60"/>
      <c r="G66" s="110"/>
      <c r="H66" s="58"/>
      <c r="I66" s="60"/>
    </row>
    <row r="67" spans="1:9" x14ac:dyDescent="0.3">
      <c r="A67" s="58" t="s">
        <v>259</v>
      </c>
      <c r="B67" s="59" t="s">
        <v>260</v>
      </c>
      <c r="C67" s="58"/>
      <c r="D67" s="110"/>
      <c r="E67" s="58"/>
      <c r="F67" s="60"/>
      <c r="G67" s="110"/>
      <c r="H67" s="58"/>
      <c r="I67" s="60"/>
    </row>
    <row r="68" spans="1:9" x14ac:dyDescent="0.3">
      <c r="A68" s="58" t="s">
        <v>261</v>
      </c>
      <c r="B68" s="59" t="s">
        <v>262</v>
      </c>
      <c r="C68" s="58"/>
      <c r="D68" s="110"/>
      <c r="E68" s="58"/>
      <c r="F68" s="60"/>
      <c r="G68" s="110"/>
      <c r="H68" s="58"/>
      <c r="I68" s="60"/>
    </row>
    <row r="69" spans="1:9" x14ac:dyDescent="0.3">
      <c r="A69" s="58" t="s">
        <v>263</v>
      </c>
      <c r="B69" s="59" t="s">
        <v>264</v>
      </c>
      <c r="C69" s="58"/>
      <c r="D69" s="110"/>
      <c r="E69" s="58"/>
      <c r="F69" s="60"/>
      <c r="G69" s="110"/>
      <c r="H69" s="58"/>
      <c r="I69" s="60"/>
    </row>
    <row r="70" spans="1:9" x14ac:dyDescent="0.3">
      <c r="A70" s="58" t="s">
        <v>265</v>
      </c>
      <c r="B70" s="59" t="s">
        <v>266</v>
      </c>
      <c r="C70" s="58"/>
      <c r="D70" s="110"/>
      <c r="E70" s="58"/>
      <c r="F70" s="60"/>
      <c r="G70" s="110"/>
      <c r="H70" s="58"/>
      <c r="I70" s="60"/>
    </row>
    <row r="71" spans="1:9" x14ac:dyDescent="0.3">
      <c r="A71" s="58" t="s">
        <v>158</v>
      </c>
      <c r="B71" s="59" t="s">
        <v>166</v>
      </c>
      <c r="C71" s="58"/>
      <c r="D71" s="110"/>
      <c r="E71" s="58"/>
      <c r="F71" s="60"/>
      <c r="G71" s="110"/>
      <c r="H71" s="58"/>
      <c r="I71" s="60"/>
    </row>
    <row r="72" spans="1:9" x14ac:dyDescent="0.3">
      <c r="A72" s="58" t="s">
        <v>43</v>
      </c>
      <c r="B72" s="59" t="s">
        <v>44</v>
      </c>
      <c r="C72" s="58"/>
      <c r="D72" s="110"/>
      <c r="E72" s="58"/>
      <c r="F72" s="60"/>
      <c r="G72" s="110"/>
      <c r="H72" s="58"/>
      <c r="I72" s="60"/>
    </row>
    <row r="73" spans="1:9" x14ac:dyDescent="0.3">
      <c r="A73" s="58" t="s">
        <v>151</v>
      </c>
      <c r="B73" s="59" t="s">
        <v>159</v>
      </c>
      <c r="C73" s="58"/>
      <c r="D73" s="110"/>
      <c r="E73" s="58"/>
      <c r="F73" s="60"/>
      <c r="G73" s="110"/>
      <c r="H73" s="58"/>
      <c r="I73" s="60"/>
    </row>
    <row r="74" spans="1:9" x14ac:dyDescent="0.3">
      <c r="A74" s="58" t="s">
        <v>80</v>
      </c>
      <c r="B74" s="59" t="s">
        <v>81</v>
      </c>
      <c r="C74" s="58"/>
      <c r="D74" s="110"/>
      <c r="E74" s="58"/>
      <c r="F74" s="60"/>
      <c r="G74" s="110"/>
      <c r="H74" s="58"/>
      <c r="I74" s="60"/>
    </row>
    <row r="75" spans="1:9" x14ac:dyDescent="0.3">
      <c r="A75" s="58" t="s">
        <v>82</v>
      </c>
      <c r="B75" s="59" t="s">
        <v>83</v>
      </c>
      <c r="C75" s="58"/>
      <c r="D75" s="110"/>
      <c r="E75" s="58"/>
      <c r="F75" s="60"/>
      <c r="G75" s="110"/>
      <c r="H75" s="58"/>
      <c r="I75" s="60"/>
    </row>
    <row r="76" spans="1:9" x14ac:dyDescent="0.3">
      <c r="A76" s="58" t="s">
        <v>84</v>
      </c>
      <c r="B76" s="59" t="s">
        <v>85</v>
      </c>
      <c r="C76" s="58"/>
      <c r="D76" s="110"/>
      <c r="E76" s="58"/>
      <c r="F76" s="60"/>
      <c r="G76" s="110"/>
      <c r="H76" s="58"/>
      <c r="I76" s="60"/>
    </row>
    <row r="77" spans="1:9" x14ac:dyDescent="0.3">
      <c r="A77" s="58" t="s">
        <v>86</v>
      </c>
      <c r="B77" s="59" t="s">
        <v>87</v>
      </c>
      <c r="C77" s="58"/>
      <c r="D77" s="110"/>
      <c r="E77" s="58"/>
      <c r="F77" s="60"/>
      <c r="G77" s="110"/>
      <c r="H77" s="58"/>
      <c r="I77" s="60"/>
    </row>
    <row r="78" spans="1:9" x14ac:dyDescent="0.3">
      <c r="A78" s="58" t="s">
        <v>88</v>
      </c>
      <c r="B78" s="59" t="s">
        <v>89</v>
      </c>
      <c r="C78" s="58"/>
      <c r="D78" s="110"/>
      <c r="E78" s="58"/>
      <c r="F78" s="60"/>
      <c r="G78" s="110"/>
      <c r="H78" s="58"/>
      <c r="I78" s="60"/>
    </row>
    <row r="79" spans="1:9" x14ac:dyDescent="0.3">
      <c r="A79" s="58" t="s">
        <v>90</v>
      </c>
      <c r="B79" s="59" t="s">
        <v>91</v>
      </c>
      <c r="C79" s="58"/>
      <c r="D79" s="110"/>
      <c r="E79" s="58"/>
      <c r="F79" s="60"/>
      <c r="G79" s="110"/>
      <c r="H79" s="58"/>
      <c r="I79" s="60"/>
    </row>
    <row r="80" spans="1:9" x14ac:dyDescent="0.3">
      <c r="A80" s="58" t="s">
        <v>62</v>
      </c>
      <c r="B80" s="59" t="s">
        <v>63</v>
      </c>
      <c r="C80" s="58"/>
      <c r="D80" s="110"/>
      <c r="E80" s="58"/>
      <c r="F80" s="60"/>
      <c r="G80" s="110"/>
      <c r="H80" s="58"/>
      <c r="I80" s="60"/>
    </row>
    <row r="81" spans="1:9" x14ac:dyDescent="0.3">
      <c r="A81" s="58" t="s">
        <v>267</v>
      </c>
      <c r="B81" s="59" t="s">
        <v>268</v>
      </c>
      <c r="C81" s="58"/>
      <c r="D81" s="110"/>
      <c r="E81" s="58"/>
      <c r="F81" s="60"/>
      <c r="G81" s="110"/>
      <c r="H81" s="58"/>
      <c r="I81" s="60"/>
    </row>
    <row r="82" spans="1:9" x14ac:dyDescent="0.3">
      <c r="A82" s="58" t="s">
        <v>269</v>
      </c>
      <c r="B82" s="59" t="s">
        <v>270</v>
      </c>
      <c r="C82" s="58"/>
      <c r="D82" s="110"/>
      <c r="E82" s="58"/>
      <c r="F82" s="60"/>
      <c r="G82" s="110"/>
      <c r="H82" s="58"/>
      <c r="I82" s="60"/>
    </row>
    <row r="83" spans="1:9" x14ac:dyDescent="0.3">
      <c r="A83" s="58" t="s">
        <v>47</v>
      </c>
      <c r="B83" s="59" t="s">
        <v>48</v>
      </c>
      <c r="C83" s="58"/>
      <c r="D83" s="110"/>
      <c r="E83" s="58"/>
      <c r="F83" s="60"/>
      <c r="G83" s="110"/>
      <c r="H83" s="58"/>
      <c r="I83" s="60"/>
    </row>
    <row r="84" spans="1:9" x14ac:dyDescent="0.3">
      <c r="A84" s="58" t="s">
        <v>97</v>
      </c>
      <c r="B84" s="59" t="s">
        <v>98</v>
      </c>
      <c r="C84" s="58"/>
      <c r="D84" s="110"/>
      <c r="E84" s="58"/>
      <c r="F84" s="60"/>
      <c r="G84" s="110"/>
      <c r="H84" s="58"/>
      <c r="I84" s="60"/>
    </row>
    <row r="85" spans="1:9" x14ac:dyDescent="0.3">
      <c r="A85" s="58" t="s">
        <v>99</v>
      </c>
      <c r="B85" s="59" t="s">
        <v>100</v>
      </c>
      <c r="C85" s="58"/>
      <c r="D85" s="110"/>
      <c r="E85" s="58"/>
      <c r="F85" s="60"/>
      <c r="G85" s="110"/>
      <c r="H85" s="58"/>
      <c r="I85" s="60"/>
    </row>
    <row r="86" spans="1:9" x14ac:dyDescent="0.3">
      <c r="A86" s="58" t="s">
        <v>101</v>
      </c>
      <c r="B86" s="59" t="s">
        <v>102</v>
      </c>
      <c r="C86" s="58"/>
      <c r="D86" s="110"/>
      <c r="E86" s="58"/>
      <c r="F86" s="60"/>
      <c r="G86" s="110"/>
      <c r="H86" s="58"/>
      <c r="I86" s="60"/>
    </row>
    <row r="87" spans="1:9" x14ac:dyDescent="0.3">
      <c r="A87" s="58" t="s">
        <v>92</v>
      </c>
      <c r="B87" s="59" t="s">
        <v>93</v>
      </c>
      <c r="C87" s="58"/>
      <c r="D87" s="110"/>
      <c r="E87" s="58"/>
      <c r="F87" s="60"/>
      <c r="G87" s="110"/>
      <c r="H87" s="58"/>
      <c r="I87" s="60"/>
    </row>
    <row r="88" spans="1:9" x14ac:dyDescent="0.3">
      <c r="A88" s="58" t="s">
        <v>128</v>
      </c>
      <c r="B88" s="59" t="s">
        <v>271</v>
      </c>
      <c r="C88" s="58"/>
      <c r="D88" s="110"/>
      <c r="E88" s="58"/>
      <c r="F88" s="60"/>
      <c r="G88" s="110"/>
      <c r="H88" s="58"/>
      <c r="I88" s="60"/>
    </row>
    <row r="89" spans="1:9" x14ac:dyDescent="0.3">
      <c r="A89" s="58" t="s">
        <v>55</v>
      </c>
      <c r="B89" s="59" t="s">
        <v>56</v>
      </c>
      <c r="C89" s="58"/>
      <c r="D89" s="110"/>
      <c r="E89" s="58"/>
      <c r="F89" s="60"/>
      <c r="G89" s="110"/>
      <c r="H89" s="58"/>
      <c r="I89" s="60"/>
    </row>
    <row r="90" spans="1:9" x14ac:dyDescent="0.3">
      <c r="A90" s="58" t="s">
        <v>29</v>
      </c>
      <c r="B90" s="59" t="s">
        <v>30</v>
      </c>
      <c r="C90" s="58"/>
      <c r="D90" s="110"/>
      <c r="E90" s="58"/>
      <c r="F90" s="60"/>
      <c r="G90" s="110"/>
      <c r="H90" s="58"/>
      <c r="I90" s="60"/>
    </row>
    <row r="91" spans="1:9" x14ac:dyDescent="0.3">
      <c r="A91" s="58" t="s">
        <v>53</v>
      </c>
      <c r="B91" s="59" t="s">
        <v>330</v>
      </c>
      <c r="C91" s="58"/>
      <c r="D91" s="110"/>
      <c r="E91" s="58"/>
      <c r="F91" s="60"/>
      <c r="G91" s="110"/>
      <c r="H91" s="58"/>
      <c r="I91" s="60"/>
    </row>
    <row r="92" spans="1:9" x14ac:dyDescent="0.3">
      <c r="A92" s="58" t="s">
        <v>31</v>
      </c>
      <c r="B92" s="59" t="s">
        <v>32</v>
      </c>
      <c r="C92" s="58"/>
      <c r="D92" s="110"/>
      <c r="E92" s="58"/>
      <c r="F92" s="60"/>
      <c r="G92" s="110"/>
      <c r="H92" s="58"/>
      <c r="I92" s="60"/>
    </row>
    <row r="93" spans="1:9" x14ac:dyDescent="0.3">
      <c r="A93" s="58" t="s">
        <v>272</v>
      </c>
      <c r="B93" s="59" t="s">
        <v>273</v>
      </c>
      <c r="C93" s="58"/>
      <c r="D93" s="110"/>
      <c r="E93" s="58"/>
      <c r="F93" s="60"/>
      <c r="G93" s="110"/>
      <c r="H93" s="58"/>
      <c r="I93" s="60"/>
    </row>
    <row r="94" spans="1:9" x14ac:dyDescent="0.3">
      <c r="A94" s="58" t="s">
        <v>274</v>
      </c>
      <c r="B94" s="59" t="s">
        <v>275</v>
      </c>
      <c r="C94" s="58"/>
      <c r="D94" s="110"/>
      <c r="E94" s="58"/>
      <c r="F94" s="60"/>
      <c r="G94" s="110"/>
      <c r="H94" s="58"/>
      <c r="I94" s="60"/>
    </row>
    <row r="95" spans="1:9" x14ac:dyDescent="0.3">
      <c r="A95" s="58" t="s">
        <v>123</v>
      </c>
      <c r="B95" s="59" t="s">
        <v>68</v>
      </c>
      <c r="C95" s="58"/>
      <c r="D95" s="110"/>
      <c r="E95" s="58"/>
      <c r="F95" s="60"/>
      <c r="G95" s="110"/>
      <c r="H95" s="58"/>
      <c r="I95" s="60"/>
    </row>
    <row r="96" spans="1:9" x14ac:dyDescent="0.3">
      <c r="A96" s="58" t="s">
        <v>276</v>
      </c>
      <c r="B96" s="59" t="s">
        <v>277</v>
      </c>
      <c r="C96" s="58"/>
      <c r="D96" s="110"/>
      <c r="E96" s="58"/>
      <c r="F96" s="60"/>
      <c r="G96" s="110"/>
      <c r="H96" s="58"/>
      <c r="I96" s="60"/>
    </row>
    <row r="97" spans="1:9" x14ac:dyDescent="0.3">
      <c r="A97" s="58" t="s">
        <v>278</v>
      </c>
      <c r="B97" s="59" t="s">
        <v>279</v>
      </c>
      <c r="C97" s="58"/>
      <c r="D97" s="110"/>
      <c r="E97" s="58"/>
      <c r="F97" s="60"/>
      <c r="G97" s="110"/>
      <c r="H97" s="58"/>
      <c r="I97" s="60"/>
    </row>
    <row r="98" spans="1:9" x14ac:dyDescent="0.3">
      <c r="A98" s="58" t="s">
        <v>280</v>
      </c>
      <c r="B98" s="59" t="s">
        <v>281</v>
      </c>
      <c r="C98" s="58"/>
      <c r="D98" s="110"/>
      <c r="E98" s="58" t="s">
        <v>155</v>
      </c>
      <c r="F98" s="59" t="s">
        <v>281</v>
      </c>
      <c r="G98" s="110"/>
      <c r="H98" s="58"/>
      <c r="I98" s="60"/>
    </row>
    <row r="99" spans="1:9" x14ac:dyDescent="0.3">
      <c r="A99" s="58" t="s">
        <v>155</v>
      </c>
      <c r="B99" s="59" t="s">
        <v>163</v>
      </c>
      <c r="C99" s="58"/>
      <c r="D99" s="110"/>
      <c r="E99" s="58"/>
      <c r="F99" s="60"/>
      <c r="G99" s="110"/>
      <c r="H99" s="58"/>
      <c r="I99" s="60"/>
    </row>
    <row r="100" spans="1:9" x14ac:dyDescent="0.3">
      <c r="A100" s="58" t="s">
        <v>282</v>
      </c>
      <c r="B100" s="59" t="s">
        <v>283</v>
      </c>
      <c r="C100" s="58"/>
      <c r="D100" s="110"/>
      <c r="E100" s="58"/>
      <c r="F100" s="60"/>
      <c r="G100" s="110"/>
      <c r="H100" s="58"/>
      <c r="I100" s="60"/>
    </row>
    <row r="101" spans="1:9" x14ac:dyDescent="0.3">
      <c r="A101" s="58" t="s">
        <v>284</v>
      </c>
      <c r="B101" s="59" t="s">
        <v>285</v>
      </c>
      <c r="C101" s="58"/>
      <c r="D101" s="110"/>
      <c r="E101" s="58"/>
      <c r="F101" s="60"/>
      <c r="G101" s="110"/>
      <c r="H101" s="58"/>
      <c r="I101" s="60"/>
    </row>
    <row r="102" spans="1:9" x14ac:dyDescent="0.3">
      <c r="A102" s="58" t="s">
        <v>33</v>
      </c>
      <c r="B102" s="59" t="s">
        <v>34</v>
      </c>
      <c r="C102" s="58"/>
      <c r="D102" s="110"/>
      <c r="E102" s="58"/>
      <c r="F102" s="60"/>
      <c r="G102" s="110"/>
      <c r="H102" s="58"/>
      <c r="I102" s="60"/>
    </row>
    <row r="103" spans="1:9" x14ac:dyDescent="0.3">
      <c r="A103" s="58" t="s">
        <v>37</v>
      </c>
      <c r="B103" s="59" t="s">
        <v>38</v>
      </c>
      <c r="C103" s="58"/>
      <c r="D103" s="110"/>
      <c r="E103" s="58"/>
      <c r="F103" s="60"/>
      <c r="G103" s="110"/>
      <c r="H103" s="58"/>
      <c r="I103" s="60"/>
    </row>
    <row r="104" spans="1:9" x14ac:dyDescent="0.3">
      <c r="A104" s="58" t="s">
        <v>286</v>
      </c>
      <c r="B104" s="59" t="s">
        <v>287</v>
      </c>
      <c r="C104" s="58"/>
      <c r="D104" s="110"/>
      <c r="E104" s="58"/>
      <c r="F104" s="60"/>
      <c r="G104" s="110"/>
      <c r="H104" s="58"/>
      <c r="I104" s="60"/>
    </row>
    <row r="105" spans="1:9" x14ac:dyDescent="0.3">
      <c r="A105" s="58" t="s">
        <v>118</v>
      </c>
      <c r="B105" s="59" t="s">
        <v>288</v>
      </c>
      <c r="C105" s="58"/>
      <c r="D105" s="110"/>
      <c r="E105" s="58"/>
      <c r="F105" s="60"/>
      <c r="G105" s="110"/>
      <c r="H105" s="58"/>
      <c r="I105" s="60"/>
    </row>
    <row r="106" spans="1:9" x14ac:dyDescent="0.3">
      <c r="A106" s="58" t="s">
        <v>145</v>
      </c>
      <c r="B106" s="59" t="s">
        <v>144</v>
      </c>
      <c r="C106" s="58"/>
      <c r="D106" s="110"/>
      <c r="E106" s="58"/>
      <c r="F106" s="60"/>
      <c r="G106" s="110"/>
      <c r="H106" s="58"/>
      <c r="I106" s="60"/>
    </row>
    <row r="107" spans="1:9" x14ac:dyDescent="0.3">
      <c r="A107" s="58" t="s">
        <v>289</v>
      </c>
      <c r="B107" s="59" t="s">
        <v>290</v>
      </c>
      <c r="C107" s="58"/>
      <c r="D107" s="110"/>
      <c r="E107" s="58"/>
      <c r="F107" s="60"/>
      <c r="G107" s="110"/>
      <c r="H107" s="58"/>
      <c r="I107" s="60"/>
    </row>
    <row r="108" spans="1:9" x14ac:dyDescent="0.3">
      <c r="A108" s="58" t="s">
        <v>124</v>
      </c>
      <c r="B108" s="59" t="s">
        <v>69</v>
      </c>
      <c r="C108" s="58"/>
      <c r="D108" s="110"/>
      <c r="E108" s="58"/>
      <c r="F108" s="60"/>
      <c r="G108" s="110"/>
      <c r="H108" s="58"/>
      <c r="I108" s="60"/>
    </row>
    <row r="109" spans="1:9" x14ac:dyDescent="0.3">
      <c r="A109" s="58" t="s">
        <v>291</v>
      </c>
      <c r="B109" s="59" t="s">
        <v>292</v>
      </c>
      <c r="C109" s="58"/>
      <c r="D109" s="110"/>
      <c r="E109" s="58"/>
      <c r="F109" s="60"/>
      <c r="G109" s="110"/>
      <c r="H109" s="58"/>
      <c r="I109" s="60"/>
    </row>
    <row r="110" spans="1:9" x14ac:dyDescent="0.3">
      <c r="A110" s="58" t="s">
        <v>39</v>
      </c>
      <c r="B110" s="59" t="s">
        <v>40</v>
      </c>
      <c r="C110" s="58"/>
      <c r="D110" s="110"/>
      <c r="E110" s="58"/>
      <c r="F110" s="60"/>
      <c r="G110" s="110"/>
      <c r="H110" s="58"/>
      <c r="I110" s="60"/>
    </row>
    <row r="111" spans="1:9" x14ac:dyDescent="0.3">
      <c r="A111" s="58" t="s">
        <v>148</v>
      </c>
      <c r="B111" s="59" t="s">
        <v>149</v>
      </c>
      <c r="C111" s="58"/>
      <c r="D111" s="110"/>
      <c r="E111" s="58" t="s">
        <v>293</v>
      </c>
      <c r="F111" s="59" t="s">
        <v>149</v>
      </c>
      <c r="G111" s="110"/>
      <c r="H111" s="58"/>
      <c r="I111" s="60"/>
    </row>
    <row r="112" spans="1:9" x14ac:dyDescent="0.3">
      <c r="A112" s="58" t="s">
        <v>294</v>
      </c>
      <c r="B112" s="59" t="s">
        <v>295</v>
      </c>
      <c r="C112" s="58"/>
      <c r="D112" s="110"/>
      <c r="E112" s="58"/>
      <c r="F112" s="60"/>
      <c r="G112" s="110"/>
      <c r="H112" s="58"/>
      <c r="I112" s="60"/>
    </row>
    <row r="113" spans="1:9" x14ac:dyDescent="0.3">
      <c r="A113" s="58" t="s">
        <v>57</v>
      </c>
      <c r="B113" s="59" t="s">
        <v>296</v>
      </c>
      <c r="C113" s="58"/>
      <c r="D113" s="110"/>
      <c r="E113" s="58"/>
      <c r="F113" s="60"/>
      <c r="G113" s="110"/>
      <c r="H113" s="58"/>
      <c r="I113" s="60"/>
    </row>
    <row r="114" spans="1:9" x14ac:dyDescent="0.3">
      <c r="A114" s="58" t="s">
        <v>58</v>
      </c>
      <c r="B114" s="59" t="s">
        <v>59</v>
      </c>
      <c r="C114" s="58"/>
      <c r="D114" s="110"/>
      <c r="E114" s="58"/>
      <c r="F114" s="60"/>
      <c r="G114" s="110"/>
      <c r="H114" s="58"/>
      <c r="I114" s="60"/>
    </row>
    <row r="115" spans="1:9" x14ac:dyDescent="0.3">
      <c r="A115" s="58" t="s">
        <v>171</v>
      </c>
      <c r="B115" s="59" t="s">
        <v>298</v>
      </c>
      <c r="C115" s="58"/>
      <c r="D115" s="110"/>
      <c r="E115" s="58" t="s">
        <v>297</v>
      </c>
      <c r="F115" s="59" t="s">
        <v>298</v>
      </c>
      <c r="G115" s="110"/>
      <c r="H115" s="58"/>
      <c r="I115" s="60"/>
    </row>
    <row r="116" spans="1:9" x14ac:dyDescent="0.3">
      <c r="A116" s="58" t="s">
        <v>66</v>
      </c>
      <c r="B116" s="59" t="s">
        <v>67</v>
      </c>
      <c r="C116" s="58"/>
      <c r="D116" s="110"/>
      <c r="E116" s="58"/>
      <c r="F116" s="60"/>
      <c r="G116" s="110"/>
      <c r="H116" s="58"/>
      <c r="I116" s="60"/>
    </row>
    <row r="117" spans="1:9" x14ac:dyDescent="0.3">
      <c r="A117" s="58" t="s">
        <v>299</v>
      </c>
      <c r="B117" s="59" t="s">
        <v>300</v>
      </c>
      <c r="C117" s="58"/>
      <c r="D117" s="110"/>
      <c r="E117" s="58"/>
      <c r="F117" s="60"/>
      <c r="G117" s="110"/>
      <c r="H117" s="58"/>
      <c r="I117" s="60"/>
    </row>
    <row r="118" spans="1:9" x14ac:dyDescent="0.3">
      <c r="A118" s="58" t="s">
        <v>301</v>
      </c>
      <c r="B118" s="59" t="s">
        <v>302</v>
      </c>
      <c r="C118" s="58"/>
      <c r="D118" s="110"/>
      <c r="E118" s="58"/>
      <c r="F118" s="60"/>
      <c r="G118" s="110"/>
      <c r="H118" s="58"/>
      <c r="I118" s="60"/>
    </row>
    <row r="119" spans="1:9" x14ac:dyDescent="0.3">
      <c r="A119" s="58" t="s">
        <v>305</v>
      </c>
      <c r="B119" s="59" t="s">
        <v>306</v>
      </c>
      <c r="C119" s="58"/>
      <c r="D119" s="110"/>
      <c r="E119" s="58"/>
      <c r="F119" s="60"/>
      <c r="G119" s="110"/>
      <c r="H119" s="58"/>
      <c r="I119" s="60"/>
    </row>
    <row r="120" spans="1:9" x14ac:dyDescent="0.3">
      <c r="A120" s="58" t="s">
        <v>307</v>
      </c>
      <c r="B120" s="59" t="s">
        <v>308</v>
      </c>
      <c r="C120" s="58"/>
      <c r="D120" s="110"/>
      <c r="E120" s="58"/>
      <c r="F120" s="60"/>
      <c r="G120" s="110"/>
      <c r="H120" s="58"/>
      <c r="I120" s="60"/>
    </row>
    <row r="121" spans="1:9" x14ac:dyDescent="0.3">
      <c r="A121" s="58" t="s">
        <v>176</v>
      </c>
      <c r="B121" s="59" t="s">
        <v>309</v>
      </c>
      <c r="C121" s="58"/>
      <c r="D121" s="110"/>
      <c r="E121" s="58"/>
      <c r="F121" s="60"/>
      <c r="G121" s="110"/>
      <c r="H121" s="58"/>
      <c r="I121" s="60"/>
    </row>
    <row r="122" spans="1:9" x14ac:dyDescent="0.3">
      <c r="A122" s="58" t="s">
        <v>157</v>
      </c>
      <c r="B122" s="59" t="s">
        <v>165</v>
      </c>
      <c r="C122" s="58"/>
      <c r="D122" s="110"/>
      <c r="E122" s="58"/>
      <c r="F122" s="60"/>
      <c r="G122" s="110"/>
      <c r="H122" s="58"/>
      <c r="I122" s="60"/>
    </row>
    <row r="123" spans="1:9" x14ac:dyDescent="0.3">
      <c r="A123" s="58" t="s">
        <v>173</v>
      </c>
      <c r="B123" s="59" t="s">
        <v>174</v>
      </c>
      <c r="C123" s="58"/>
      <c r="D123" s="110"/>
      <c r="E123" s="58" t="s">
        <v>303</v>
      </c>
      <c r="F123" s="59" t="s">
        <v>304</v>
      </c>
      <c r="G123" s="110"/>
      <c r="H123" s="58"/>
      <c r="I123" s="60"/>
    </row>
    <row r="124" spans="1:9" x14ac:dyDescent="0.3">
      <c r="A124" s="58" t="s">
        <v>169</v>
      </c>
      <c r="B124" s="59" t="s">
        <v>170</v>
      </c>
      <c r="C124" s="58"/>
      <c r="D124" s="110"/>
      <c r="E124" s="58"/>
      <c r="F124" s="60"/>
      <c r="G124" s="110"/>
      <c r="H124" s="58"/>
      <c r="I124" s="60"/>
    </row>
    <row r="125" spans="1:9" x14ac:dyDescent="0.3">
      <c r="A125" s="58" t="s">
        <v>175</v>
      </c>
      <c r="B125" s="59" t="s">
        <v>310</v>
      </c>
      <c r="C125" s="58"/>
      <c r="D125" s="110"/>
      <c r="E125" s="58"/>
      <c r="F125" s="60"/>
      <c r="G125" s="110"/>
      <c r="H125" s="58"/>
      <c r="I125" s="60"/>
    </row>
    <row r="126" spans="1:9" x14ac:dyDescent="0.3">
      <c r="A126" s="58" t="s">
        <v>136</v>
      </c>
      <c r="B126" s="59" t="s">
        <v>139</v>
      </c>
      <c r="C126" s="58"/>
      <c r="D126" s="110"/>
      <c r="E126" s="58"/>
      <c r="F126" s="60"/>
      <c r="G126" s="110"/>
      <c r="H126" s="58"/>
      <c r="I126" s="60"/>
    </row>
    <row r="127" spans="1:9" x14ac:dyDescent="0.3">
      <c r="A127" s="58" t="s">
        <v>119</v>
      </c>
      <c r="B127" s="59" t="s">
        <v>311</v>
      </c>
      <c r="C127" s="58"/>
      <c r="D127" s="110"/>
      <c r="E127" s="58"/>
      <c r="F127" s="60"/>
      <c r="G127" s="110"/>
      <c r="H127" s="58"/>
      <c r="I127" s="60"/>
    </row>
    <row r="128" spans="1:9" x14ac:dyDescent="0.3">
      <c r="A128" s="58" t="s">
        <v>312</v>
      </c>
      <c r="B128" s="59" t="s">
        <v>313</v>
      </c>
      <c r="C128" s="58"/>
      <c r="D128" s="110"/>
      <c r="E128" s="58"/>
      <c r="F128" s="60"/>
      <c r="G128" s="110"/>
      <c r="H128" s="58"/>
      <c r="I128" s="60"/>
    </row>
    <row r="129" spans="1:9" x14ac:dyDescent="0.3">
      <c r="A129" s="58" t="s">
        <v>314</v>
      </c>
      <c r="B129" s="59" t="s">
        <v>315</v>
      </c>
      <c r="C129" s="58"/>
      <c r="D129" s="110"/>
      <c r="E129" s="58"/>
      <c r="F129" s="60"/>
      <c r="G129" s="110"/>
      <c r="H129" s="58"/>
      <c r="I129" s="60"/>
    </row>
    <row r="130" spans="1:9" x14ac:dyDescent="0.3">
      <c r="A130" s="58" t="s">
        <v>138</v>
      </c>
      <c r="B130" s="59" t="s">
        <v>141</v>
      </c>
      <c r="C130" s="58"/>
      <c r="D130" s="110"/>
      <c r="E130" s="58"/>
      <c r="F130" s="60"/>
      <c r="G130" s="110"/>
      <c r="H130" s="58"/>
      <c r="I130" s="60"/>
    </row>
    <row r="131" spans="1:9" x14ac:dyDescent="0.3">
      <c r="A131" s="58" t="s">
        <v>137</v>
      </c>
      <c r="B131" s="59" t="s">
        <v>140</v>
      </c>
      <c r="C131" s="58"/>
      <c r="D131" s="110"/>
      <c r="E131" s="58"/>
      <c r="F131" s="60"/>
      <c r="G131" s="110"/>
      <c r="H131" s="58"/>
      <c r="I131" s="60"/>
    </row>
    <row r="132" spans="1:9" ht="15" thickBot="1" x14ac:dyDescent="0.35">
      <c r="A132" s="61" t="s">
        <v>103</v>
      </c>
      <c r="B132" s="62" t="s">
        <v>104</v>
      </c>
      <c r="C132" s="61"/>
      <c r="D132" s="111"/>
      <c r="E132" s="61"/>
      <c r="F132" s="63"/>
      <c r="G132" s="111"/>
      <c r="H132" s="61"/>
      <c r="I132" s="63"/>
    </row>
  </sheetData>
  <sheetProtection selectLockedCells="1"/>
  <protectedRanges>
    <protectedRange sqref="G2 G10:G15 G6:G7 G17:G41 G43:G57 D2:D57" name="Rango1"/>
    <protectedRange sqref="G3:G5" name="Rango1_12"/>
    <protectedRange sqref="G8:G9" name="Rango1_13"/>
    <protectedRange sqref="G16" name="Rango1_14"/>
  </protectedRanges>
  <autoFilter ref="A1:I132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2026-04-21T15:14:41Z</cp:lastPrinted>
  <dcterms:created xsi:type="dcterms:W3CDTF">2024-08-29T16:28:19Z</dcterms:created>
  <dcterms:modified xsi:type="dcterms:W3CDTF">2026-05-05T18:40:42Z</dcterms:modified>
  <cp:category/>
  <cp:contentStatus/>
</cp:coreProperties>
</file>
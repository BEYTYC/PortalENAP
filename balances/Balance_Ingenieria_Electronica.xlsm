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"/>
    </mc:Choice>
  </mc:AlternateContent>
  <xr:revisionPtr revIDLastSave="2975" documentId="8_{064E12FB-7D89-4E8F-9CE5-3099933A24BA}" xr6:coauthVersionLast="47" xr6:coauthVersionMax="47" xr10:uidLastSave="{D58A0D19-385B-46D6-B4D7-0D9BF385DE3D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state="hidden" r:id="rId4"/>
  </sheets>
  <definedNames>
    <definedName name="_xlnm._FilterDatabase" localSheetId="0" hidden="1">Balance!$C$11:$L$73</definedName>
    <definedName name="_xlnm._FilterDatabase" localSheetId="3" hidden="1">Equivalencia!$A$1:$I$27</definedName>
    <definedName name="_xlnm._FilterDatabase" localSheetId="1" hidden="1">Notas!$A$1:$U$352</definedName>
    <definedName name="_xleta.IFERROR" hidden="1" xlm="1">#NAME?</definedName>
    <definedName name="_xleta.MAX" hidden="1" xlm="1">#NAME?</definedName>
    <definedName name="_xleta.N" hidden="1" xlm="1">#NAME?</definedName>
    <definedName name="_xleta.VLOOKUP" hidden="1" xlm="1">#NAME?</definedName>
    <definedName name="_xlnm.Print_Area" localSheetId="0">Balance!$C$3:$L$87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" i="1" l="1" a="1"/>
  <c r="G46" i="1" s="1"/>
  <c r="J73" i="1"/>
  <c r="J72" i="1"/>
  <c r="F8" i="1" l="1"/>
  <c r="K46" i="1" l="1" a="1"/>
  <c r="K46" i="1" s="1"/>
  <c r="J75" i="1"/>
  <c r="H73" i="1"/>
  <c r="H72" i="1"/>
  <c r="G73" i="1"/>
  <c r="L73" i="1" s="1"/>
  <c r="G72" i="1"/>
  <c r="L72" i="1" s="1"/>
  <c r="K72" i="1" l="1"/>
  <c r="K73" i="1"/>
  <c r="L9" i="1"/>
  <c r="G56" i="1" l="1"/>
  <c r="G57" i="1"/>
  <c r="G58" i="1"/>
  <c r="H58" i="1" s="1"/>
  <c r="G61" i="1"/>
  <c r="H61" i="1" s="1"/>
  <c r="G62" i="1"/>
  <c r="G63" i="1"/>
  <c r="G54" i="1"/>
  <c r="H54" i="1" s="1"/>
  <c r="G55" i="1"/>
  <c r="H55" i="1" s="1"/>
  <c r="G59" i="1"/>
  <c r="H59" i="1" s="1"/>
  <c r="G60" i="1"/>
  <c r="H60" i="1" s="1"/>
  <c r="H46" i="1"/>
  <c r="G35" i="1"/>
  <c r="G33" i="1"/>
  <c r="K33" i="1" s="1"/>
  <c r="G24" i="1"/>
  <c r="K24" i="1" s="1"/>
  <c r="G37" i="1"/>
  <c r="K37" i="1" s="1"/>
  <c r="G30" i="1"/>
  <c r="K30" i="1" s="1"/>
  <c r="G19" i="1"/>
  <c r="K19" i="1" s="1"/>
  <c r="G25" i="1"/>
  <c r="K25" i="1" s="1"/>
  <c r="G48" i="1"/>
  <c r="K48" i="1" s="1"/>
  <c r="G51" i="1"/>
  <c r="K51" i="1" s="1"/>
  <c r="G53" i="1"/>
  <c r="K53" i="1" s="1"/>
  <c r="G38" i="1"/>
  <c r="K38" i="1" s="1"/>
  <c r="G12" i="1"/>
  <c r="G71" i="1"/>
  <c r="K71" i="1" s="1"/>
  <c r="G66" i="1"/>
  <c r="G47" i="1"/>
  <c r="K47" i="1" s="1"/>
  <c r="G17" i="1"/>
  <c r="K17" i="1" s="1"/>
  <c r="G32" i="1"/>
  <c r="K32" i="1" s="1"/>
  <c r="G36" i="1"/>
  <c r="K36" i="1" s="1"/>
  <c r="G13" i="1"/>
  <c r="K13" i="1" s="1"/>
  <c r="G67" i="1"/>
  <c r="G42" i="1"/>
  <c r="K42" i="1" s="1"/>
  <c r="G28" i="1"/>
  <c r="G14" i="1"/>
  <c r="K14" i="1" s="1"/>
  <c r="G52" i="1"/>
  <c r="K52" i="1" s="1"/>
  <c r="G23" i="1"/>
  <c r="K23" i="1" s="1"/>
  <c r="G21" i="1"/>
  <c r="K21" i="1" s="1"/>
  <c r="G70" i="1"/>
  <c r="K70" i="1" s="1"/>
  <c r="G20" i="1"/>
  <c r="K20" i="1" s="1"/>
  <c r="G41" i="1"/>
  <c r="K41" i="1" s="1"/>
  <c r="G50" i="1"/>
  <c r="K50" i="1" s="1"/>
  <c r="G29" i="1"/>
  <c r="K29" i="1" s="1"/>
  <c r="G69" i="1"/>
  <c r="G45" i="1"/>
  <c r="K45" i="1" s="1"/>
  <c r="G27" i="1"/>
  <c r="G34" i="1"/>
  <c r="K34" i="1" s="1"/>
  <c r="G49" i="1"/>
  <c r="K49" i="1" s="1"/>
  <c r="G65" i="1"/>
  <c r="G16" i="1"/>
  <c r="K16" i="1" s="1"/>
  <c r="G44" i="1"/>
  <c r="K44" i="1" s="1"/>
  <c r="G40" i="1"/>
  <c r="K40" i="1" s="1"/>
  <c r="G26" i="1"/>
  <c r="K26" i="1" s="1"/>
  <c r="G22" i="1"/>
  <c r="K22" i="1" s="1"/>
  <c r="G18" i="1"/>
  <c r="K18" i="1" s="1"/>
  <c r="G31" i="1"/>
  <c r="K31" i="1" s="1"/>
  <c r="G15" i="1"/>
  <c r="K15" i="1" s="1"/>
  <c r="G68" i="1"/>
  <c r="G64" i="1"/>
  <c r="G43" i="1"/>
  <c r="K43" i="1" s="1"/>
  <c r="G39" i="1"/>
  <c r="K39" i="1" s="1"/>
  <c r="H4" i="7"/>
  <c r="H5" i="7"/>
  <c r="H6" i="7"/>
  <c r="H7" i="7"/>
  <c r="H8" i="7"/>
  <c r="H9" i="7"/>
  <c r="H10" i="7"/>
  <c r="H11" i="7"/>
  <c r="H12" i="7"/>
  <c r="H13" i="7"/>
  <c r="L60" i="1" l="1"/>
  <c r="K60" i="1"/>
  <c r="L59" i="1"/>
  <c r="K59" i="1"/>
  <c r="K55" i="1"/>
  <c r="L55" i="1"/>
  <c r="K54" i="1"/>
  <c r="L54" i="1"/>
  <c r="K63" i="1"/>
  <c r="L63" i="1"/>
  <c r="K62" i="1"/>
  <c r="L62" i="1"/>
  <c r="L61" i="1"/>
  <c r="K61" i="1"/>
  <c r="H63" i="1"/>
  <c r="L58" i="1"/>
  <c r="K58" i="1"/>
  <c r="K57" i="1"/>
  <c r="L57" i="1"/>
  <c r="H62" i="1"/>
  <c r="L56" i="1"/>
  <c r="K56" i="1"/>
  <c r="H56" i="1"/>
  <c r="H57" i="1"/>
  <c r="L64" i="1"/>
  <c r="K64" i="1"/>
  <c r="L68" i="1"/>
  <c r="K68" i="1"/>
  <c r="L66" i="1"/>
  <c r="K66" i="1"/>
  <c r="L65" i="1"/>
  <c r="K65" i="1"/>
  <c r="L67" i="1"/>
  <c r="K67" i="1"/>
  <c r="H35" i="1"/>
  <c r="K35" i="1"/>
  <c r="L69" i="1"/>
  <c r="K69" i="1"/>
  <c r="L12" i="1"/>
  <c r="K12" i="1"/>
  <c r="H27" i="1"/>
  <c r="K27" i="1"/>
  <c r="H28" i="1"/>
  <c r="K28" i="1"/>
  <c r="H44" i="1"/>
  <c r="L44" i="1"/>
  <c r="H38" i="1"/>
  <c r="L38" i="1"/>
  <c r="H30" i="1"/>
  <c r="L30" i="1"/>
  <c r="H36" i="1"/>
  <c r="L36" i="1"/>
  <c r="H50" i="1"/>
  <c r="L50" i="1"/>
  <c r="H70" i="1"/>
  <c r="L70" i="1"/>
  <c r="H37" i="1"/>
  <c r="L37" i="1"/>
  <c r="H71" i="1"/>
  <c r="L71" i="1"/>
  <c r="H14" i="1"/>
  <c r="L14" i="1"/>
  <c r="H17" i="1"/>
  <c r="L17" i="1"/>
  <c r="H26" i="1"/>
  <c r="L26" i="1"/>
  <c r="H49" i="1"/>
  <c r="L49" i="1"/>
  <c r="L46" i="1"/>
  <c r="H51" i="1"/>
  <c r="L51" i="1"/>
  <c r="L27" i="1"/>
  <c r="L35" i="1"/>
  <c r="H47" i="1"/>
  <c r="L47" i="1"/>
  <c r="H33" i="1"/>
  <c r="L33" i="1"/>
  <c r="H67" i="1"/>
  <c r="H53" i="1"/>
  <c r="L53" i="1"/>
  <c r="H24" i="1"/>
  <c r="L24" i="1"/>
  <c r="H15" i="1"/>
  <c r="L15" i="1"/>
  <c r="H25" i="1"/>
  <c r="L25" i="1"/>
  <c r="H40" i="1"/>
  <c r="L40" i="1"/>
  <c r="H48" i="1"/>
  <c r="L48" i="1"/>
  <c r="H43" i="1"/>
  <c r="L43" i="1"/>
  <c r="H39" i="1"/>
  <c r="L39" i="1"/>
  <c r="H32" i="1"/>
  <c r="L32" i="1"/>
  <c r="H66" i="1"/>
  <c r="H22" i="1"/>
  <c r="L22" i="1"/>
  <c r="H41" i="1"/>
  <c r="L41" i="1"/>
  <c r="H20" i="1"/>
  <c r="L20" i="1"/>
  <c r="H31" i="1"/>
  <c r="L31" i="1"/>
  <c r="H16" i="1"/>
  <c r="L16" i="1"/>
  <c r="H68" i="1"/>
  <c r="H23" i="1"/>
  <c r="L23" i="1"/>
  <c r="H69" i="1"/>
  <c r="H34" i="1"/>
  <c r="L34" i="1"/>
  <c r="H42" i="1"/>
  <c r="L42" i="1"/>
  <c r="H52" i="1"/>
  <c r="L52" i="1"/>
  <c r="H45" i="1"/>
  <c r="L45" i="1"/>
  <c r="H18" i="1"/>
  <c r="L18" i="1"/>
  <c r="H21" i="1"/>
  <c r="L21" i="1"/>
  <c r="H29" i="1"/>
  <c r="L29" i="1"/>
  <c r="H65" i="1"/>
  <c r="L28" i="1"/>
  <c r="H64" i="1"/>
  <c r="H13" i="1"/>
  <c r="L13" i="1"/>
  <c r="H19" i="1"/>
  <c r="L19" i="1"/>
  <c r="C5" i="7"/>
  <c r="C6" i="7"/>
  <c r="C7" i="7"/>
  <c r="C8" i="7"/>
  <c r="C9" i="7"/>
  <c r="C10" i="7"/>
  <c r="C11" i="7"/>
  <c r="C12" i="7"/>
  <c r="C13" i="7"/>
  <c r="C4" i="7"/>
  <c r="L8" i="1" l="1"/>
  <c r="H12" i="1"/>
  <c r="J7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<sst xmlns="http://schemas.openxmlformats.org/spreadsheetml/2006/main" count="438" uniqueCount="277">
  <si>
    <t xml:space="preserve"> </t>
  </si>
  <si>
    <t>BALANCE ACADÉMICO</t>
  </si>
  <si>
    <r>
      <rPr>
        <b/>
        <sz val="10"/>
        <color theme="1"/>
        <rFont val="Aptos Display"/>
        <family val="2"/>
        <scheme val="major"/>
      </rPr>
      <t>Autoridad:</t>
    </r>
    <r>
      <rPr>
        <sz val="10"/>
        <color theme="1"/>
        <rFont val="Aptos Display"/>
        <family val="2"/>
        <scheme val="major"/>
      </rPr>
      <t xml:space="preserve"> JINEN</t>
    </r>
  </si>
  <si>
    <r>
      <rPr>
        <b/>
        <sz val="9"/>
        <color theme="1"/>
        <rFont val="Aptos Display"/>
        <family val="2"/>
        <scheme val="major"/>
      </rPr>
      <t xml:space="preserve">Proceso: </t>
    </r>
    <r>
      <rPr>
        <sz val="9"/>
        <color theme="1"/>
        <rFont val="Aptos Display"/>
        <family val="2"/>
        <scheme val="major"/>
      </rPr>
      <t>Educación</t>
    </r>
  </si>
  <si>
    <r>
      <rPr>
        <b/>
        <sz val="9"/>
        <color theme="1"/>
        <rFont val="Aptos Display"/>
        <family val="2"/>
        <scheme val="major"/>
      </rPr>
      <t>Rige a partir de</t>
    </r>
    <r>
      <rPr>
        <sz val="9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</si>
  <si>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de 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</t>
    </r>
  </si>
  <si>
    <r>
      <rPr>
        <b/>
        <sz val="9"/>
        <color theme="1"/>
        <rFont val="Aptos Display"/>
        <family val="2"/>
        <scheme val="major"/>
      </rPr>
      <t xml:space="preserve">Código: </t>
    </r>
    <r>
      <rPr>
        <sz val="9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</si>
  <si>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</si>
  <si>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</si>
  <si>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</si>
  <si>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</si>
  <si>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</si>
  <si>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</si>
  <si>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</si>
  <si>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</si>
  <si>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</si>
  <si>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</si>
  <si>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CB100</t>
  </si>
  <si>
    <t>CB101</t>
  </si>
  <si>
    <t>CB102</t>
  </si>
  <si>
    <t>CB103</t>
  </si>
  <si>
    <t>Calculo Vectorial (III)</t>
  </si>
  <si>
    <t>CB104</t>
  </si>
  <si>
    <t>Ecuaciones Diferenciales</t>
  </si>
  <si>
    <t>CB109</t>
  </si>
  <si>
    <t>CB201</t>
  </si>
  <si>
    <t>CB203</t>
  </si>
  <si>
    <t>CB401</t>
  </si>
  <si>
    <t>CB402</t>
  </si>
  <si>
    <t>CB404</t>
  </si>
  <si>
    <t>Informática</t>
  </si>
  <si>
    <t>CS401</t>
  </si>
  <si>
    <t>Ética Profesional</t>
  </si>
  <si>
    <t>CS300</t>
  </si>
  <si>
    <t>CS711</t>
  </si>
  <si>
    <t>CS712</t>
  </si>
  <si>
    <t>Investigación Formativa II</t>
  </si>
  <si>
    <t>CS713</t>
  </si>
  <si>
    <t>Investigación Formativa III</t>
  </si>
  <si>
    <t>AM201</t>
  </si>
  <si>
    <t>Procesos Administrativos</t>
  </si>
  <si>
    <t>AM401</t>
  </si>
  <si>
    <t>Principios de Contabilidad</t>
  </si>
  <si>
    <t>IN206</t>
  </si>
  <si>
    <t>OF115</t>
  </si>
  <si>
    <t>PROMEDIO PONDERADO ACUMULADO</t>
  </si>
  <si>
    <t>Jefe de Programa</t>
  </si>
  <si>
    <t>Decano de Facultad</t>
  </si>
  <si>
    <t>CÓD</t>
  </si>
  <si>
    <t>ASIGNATURA</t>
  </si>
  <si>
    <t>CRÉD</t>
  </si>
  <si>
    <t>CÓDIGO</t>
  </si>
  <si>
    <t>Administración General</t>
  </si>
  <si>
    <t>AM229</t>
  </si>
  <si>
    <t>AM200</t>
  </si>
  <si>
    <t>Fundamentos de Matemáticas</t>
  </si>
  <si>
    <t>Álgebra Lineal</t>
  </si>
  <si>
    <t>Matemáticas I</t>
  </si>
  <si>
    <t>CB112</t>
  </si>
  <si>
    <t>Cálculo Diferencial</t>
  </si>
  <si>
    <t>Matemáticas II</t>
  </si>
  <si>
    <t>CB113</t>
  </si>
  <si>
    <t>Cálculo Integral</t>
  </si>
  <si>
    <t>Física Mecánica</t>
  </si>
  <si>
    <t>Estadística Inferencial</t>
  </si>
  <si>
    <t>IN422</t>
  </si>
  <si>
    <t>Herramientas computacionales</t>
  </si>
  <si>
    <t>IN421</t>
  </si>
  <si>
    <t>Estadística Descriptiva y Probabilidad</t>
  </si>
  <si>
    <t>CB405</t>
  </si>
  <si>
    <t>CN300</t>
  </si>
  <si>
    <t>Marinería</t>
  </si>
  <si>
    <t>11300</t>
  </si>
  <si>
    <t>CN330</t>
  </si>
  <si>
    <t>Maniobras</t>
  </si>
  <si>
    <t>CS205</t>
  </si>
  <si>
    <t>Historia Naval</t>
  </si>
  <si>
    <t>CS301</t>
  </si>
  <si>
    <t>CS302</t>
  </si>
  <si>
    <t>CS303</t>
  </si>
  <si>
    <t>CS304</t>
  </si>
  <si>
    <t>CS305</t>
  </si>
  <si>
    <t>CS306</t>
  </si>
  <si>
    <t>Inglés Nivel 7</t>
  </si>
  <si>
    <t>CS314</t>
  </si>
  <si>
    <t>Idiomas I</t>
  </si>
  <si>
    <t>CS316</t>
  </si>
  <si>
    <t>CS317</t>
  </si>
  <si>
    <t>CS318</t>
  </si>
  <si>
    <t>Idiomas V</t>
  </si>
  <si>
    <t>CS319</t>
  </si>
  <si>
    <t>Idiomas VI</t>
  </si>
  <si>
    <t>CS307</t>
  </si>
  <si>
    <t>Inglés Nivel 8</t>
  </si>
  <si>
    <t>Etica Militar (etica Profesional)</t>
  </si>
  <si>
    <t>CS208</t>
  </si>
  <si>
    <t>CS203</t>
  </si>
  <si>
    <t>Investigación Formativa I</t>
  </si>
  <si>
    <t>CS209</t>
  </si>
  <si>
    <t>Epistemología</t>
  </si>
  <si>
    <t>CS201</t>
  </si>
  <si>
    <t>Metodología de Estudio</t>
  </si>
  <si>
    <t>IN202</t>
  </si>
  <si>
    <t>Maquinaría Naval</t>
  </si>
  <si>
    <t>IN207</t>
  </si>
  <si>
    <t>Control de Averías y Prácticas</t>
  </si>
  <si>
    <t>IN219</t>
  </si>
  <si>
    <t>Fundamentos de Estabilidad</t>
  </si>
  <si>
    <t>IN500</t>
  </si>
  <si>
    <t>Estabilidad</t>
  </si>
  <si>
    <t>IN220</t>
  </si>
  <si>
    <t>Motores</t>
  </si>
  <si>
    <t>IN201</t>
  </si>
  <si>
    <t>Fundamentos de Motores</t>
  </si>
  <si>
    <t>Introducción a la Oceanografía Física</t>
  </si>
  <si>
    <t>OF102</t>
  </si>
  <si>
    <t>Oceanografía General</t>
  </si>
  <si>
    <t>OF201</t>
  </si>
  <si>
    <t>Física Calor y Ondas (II)</t>
  </si>
  <si>
    <t>INGENIERÍA NAVAL</t>
  </si>
  <si>
    <t>CB105</t>
  </si>
  <si>
    <t>CB205</t>
  </si>
  <si>
    <t>CB302</t>
  </si>
  <si>
    <t>IN001</t>
  </si>
  <si>
    <t>IN600</t>
  </si>
  <si>
    <t>IN004</t>
  </si>
  <si>
    <t>IN218</t>
  </si>
  <si>
    <t>IN406</t>
  </si>
  <si>
    <t>IN408</t>
  </si>
  <si>
    <t>IN209</t>
  </si>
  <si>
    <t>IN601</t>
  </si>
  <si>
    <t>IN602</t>
  </si>
  <si>
    <t>IN650</t>
  </si>
  <si>
    <t>IN006</t>
  </si>
  <si>
    <t>IN101</t>
  </si>
  <si>
    <t>IN107</t>
  </si>
  <si>
    <t>IN210</t>
  </si>
  <si>
    <t>IN412</t>
  </si>
  <si>
    <t>IN103</t>
  </si>
  <si>
    <t>IN008</t>
  </si>
  <si>
    <t>IN211</t>
  </si>
  <si>
    <t>IN350</t>
  </si>
  <si>
    <t>IN009</t>
  </si>
  <si>
    <t>IN104</t>
  </si>
  <si>
    <t>IN410</t>
  </si>
  <si>
    <t>Ciencias Básicas</t>
  </si>
  <si>
    <t>OF</t>
  </si>
  <si>
    <t>Ingeniería</t>
  </si>
  <si>
    <t>TOTAl CRÉDITOS PROGRAMA</t>
  </si>
  <si>
    <t>IN311</t>
  </si>
  <si>
    <t>IN109</t>
  </si>
  <si>
    <t>IN-004</t>
  </si>
  <si>
    <t>Calculo Vectorial</t>
  </si>
  <si>
    <t>Matemática Superior</t>
  </si>
  <si>
    <t>Química Aplicada</t>
  </si>
  <si>
    <t>Estática</t>
  </si>
  <si>
    <t>Herramientas Computacionales</t>
  </si>
  <si>
    <t>Arquitectura Naval</t>
  </si>
  <si>
    <t>Dinámica</t>
  </si>
  <si>
    <t>Termodinámica</t>
  </si>
  <si>
    <t>Accionamientos Eléctricos</t>
  </si>
  <si>
    <t>Diseño Mecánico I</t>
  </si>
  <si>
    <t>Automatización Industrial Naval</t>
  </si>
  <si>
    <t>Instalaciones Eléctricas Navales</t>
  </si>
  <si>
    <t>Principios de Mantenimiento</t>
  </si>
  <si>
    <t>Mecánica de Solidos I</t>
  </si>
  <si>
    <t>Mecánica de Fluidos</t>
  </si>
  <si>
    <t>Procesos de Fabricación</t>
  </si>
  <si>
    <t>Transferencia de Calor</t>
  </si>
  <si>
    <t>Estructura de Buque</t>
  </si>
  <si>
    <t>Física Mecánica y Laboratorio</t>
  </si>
  <si>
    <t>Física Calor y Ondas y Laboratorio</t>
  </si>
  <si>
    <t>Física Eléctrica y Laboratorio</t>
  </si>
  <si>
    <t>Descriptiva y Dibujo</t>
  </si>
  <si>
    <t>Materiales de Ingenieria  y Laboratorio</t>
  </si>
  <si>
    <t>Electricidad Aplicada y Laboratorio</t>
  </si>
  <si>
    <t>Maquinaria Eléctrica y Laboratorio</t>
  </si>
  <si>
    <t>Refrigeración y Aire Acondicionado</t>
  </si>
  <si>
    <t>Mecánica de Sólidos II</t>
  </si>
  <si>
    <t>Diseño Mecánico II</t>
  </si>
  <si>
    <t>Resistencia al Avance</t>
  </si>
  <si>
    <t>IN016</t>
  </si>
  <si>
    <t>IN106</t>
  </si>
  <si>
    <t>81302</t>
  </si>
  <si>
    <t>81303</t>
  </si>
  <si>
    <t>Ingles</t>
  </si>
  <si>
    <t>Ingles Nivel 2</t>
  </si>
  <si>
    <t>Ingles Nivel 3</t>
  </si>
  <si>
    <t>Ingles Nivel 4</t>
  </si>
  <si>
    <t>Ingles Nivel 5</t>
  </si>
  <si>
    <t>Ingles Nivel 6</t>
  </si>
  <si>
    <t>Ingles Nivel 8</t>
  </si>
  <si>
    <t>Idiomas Iii</t>
  </si>
  <si>
    <t>Idiomas Iv</t>
  </si>
  <si>
    <t>Ingles Nivel 7</t>
  </si>
  <si>
    <t xml:space="preserve">OBSERVACIONES: </t>
  </si>
  <si>
    <t>Metalurgia</t>
  </si>
  <si>
    <t>Régimen Fiscal y Control Interno</t>
  </si>
  <si>
    <t>Logística General</t>
  </si>
  <si>
    <t>Fundamentos de Sistemas de Armas</t>
  </si>
  <si>
    <t>Sistemas de Armas Sensóricas</t>
  </si>
  <si>
    <t>Sistema de Armas Electrónicas</t>
  </si>
  <si>
    <t>Navegación Electrónica</t>
  </si>
  <si>
    <t>Derecho Constitucional</t>
  </si>
  <si>
    <t>Fundamentos de Liderazgo</t>
  </si>
  <si>
    <t>Derechos Humanos y Derecho Int.
Humanitario</t>
  </si>
  <si>
    <t>Técnicas de Expresión Oral y Escrita</t>
  </si>
  <si>
    <t>Derecho del Mar y Fluvial</t>
  </si>
  <si>
    <t>Procedimientos Disciplinarios y Administrativos</t>
  </si>
  <si>
    <t>Idiomas</t>
  </si>
  <si>
    <t>Meteorología General</t>
  </si>
  <si>
    <t>Introducción A la Electrónica</t>
  </si>
  <si>
    <t>Fundamento de Estabilidad</t>
  </si>
  <si>
    <t>Electricidad I Circuitos Dc y Laboratorio</t>
  </si>
  <si>
    <t>Maquinaria Naval</t>
  </si>
  <si>
    <t>Electrotecnia</t>
  </si>
  <si>
    <t>Señales y Sistemas</t>
  </si>
  <si>
    <t>Electrónica I y Laboratorio</t>
  </si>
  <si>
    <t>Comunicaciones Electrónicas I</t>
  </si>
  <si>
    <t>Campos Electromagnéticos</t>
  </si>
  <si>
    <t>Gestión de Proyectos</t>
  </si>
  <si>
    <t>Electrónica II y Laboratorio</t>
  </si>
  <si>
    <t>Electrónica III y Laboratorio</t>
  </si>
  <si>
    <t>Control Automático I</t>
  </si>
  <si>
    <t>Comunicaciones Electrónicas II</t>
  </si>
  <si>
    <t>Control Automático II</t>
  </si>
  <si>
    <t>Procesamiento Digital de Señales</t>
  </si>
  <si>
    <t>Antenas</t>
  </si>
  <si>
    <t>Sistema de Radar</t>
  </si>
  <si>
    <t>Microprocesadores</t>
  </si>
  <si>
    <t>Sistemas de Sonar</t>
  </si>
  <si>
    <t>AM601</t>
  </si>
  <si>
    <t>AM701</t>
  </si>
  <si>
    <t>CN400</t>
  </si>
  <si>
    <t>CN402</t>
  </si>
  <si>
    <t>CN404</t>
  </si>
  <si>
    <t>CN326</t>
  </si>
  <si>
    <t>CS112</t>
  </si>
  <si>
    <t>CS131</t>
  </si>
  <si>
    <t>CS171</t>
  </si>
  <si>
    <t>CS200</t>
  </si>
  <si>
    <t>CS103</t>
  </si>
  <si>
    <t>CS119</t>
  </si>
  <si>
    <t>OF101</t>
  </si>
  <si>
    <t>IN449</t>
  </si>
  <si>
    <t>IN401</t>
  </si>
  <si>
    <t>IN403</t>
  </si>
  <si>
    <t>IN430</t>
  </si>
  <si>
    <t>IN521</t>
  </si>
  <si>
    <t>IN452</t>
  </si>
  <si>
    <t>IN505</t>
  </si>
  <si>
    <t>IN522</t>
  </si>
  <si>
    <t>IN800</t>
  </si>
  <si>
    <t>IN454</t>
  </si>
  <si>
    <t>IN456</t>
  </si>
  <si>
    <t>IN502</t>
  </si>
  <si>
    <t>IN552</t>
  </si>
  <si>
    <t>IN504</t>
  </si>
  <si>
    <t>IN520</t>
  </si>
  <si>
    <t>IN555</t>
  </si>
  <si>
    <t>IN556</t>
  </si>
  <si>
    <t>IN506</t>
  </si>
  <si>
    <t>IN554</t>
  </si>
  <si>
    <t>IN951</t>
  </si>
  <si>
    <t>IN952</t>
  </si>
  <si>
    <t>Ciencias Navales</t>
  </si>
  <si>
    <t>Ciencias Sociales</t>
  </si>
  <si>
    <t>Administración</t>
  </si>
  <si>
    <t>Electricidad II Circuitos AC y Laboratorio</t>
  </si>
  <si>
    <t>CS132</t>
  </si>
  <si>
    <t>IN301</t>
  </si>
  <si>
    <t>IN612</t>
  </si>
  <si>
    <t>Telemática</t>
  </si>
  <si>
    <t>Robótica</t>
  </si>
  <si>
    <t>Electivas: 6 créditos</t>
  </si>
  <si>
    <t>Liderazgo Táctico</t>
  </si>
  <si>
    <t>INGENIERÍA ELECTRÓNICA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</si>
</sst>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b/>
      <sz val="7.5"/>
      <color theme="1"/>
      <name val="Aptos Display"/>
      <family val="2"/>
      <scheme val="major"/>
    </font>
    <font>
      <u/>
      <sz val="9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4.9989318521683403E-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91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" fontId="8" fillId="0" borderId="27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7" xfId="0" applyFont="1" applyBorder="1" applyAlignment="1">
      <alignment horizontal="left" vertical="center"/>
    </xf>
    <xf numFmtId="1" fontId="6" fillId="0" borderId="47" xfId="0" applyNumberFormat="1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3" xfId="0" applyFont="1" applyBorder="1" applyAlignment="1">
      <alignment horizontal="left" vertical="center"/>
    </xf>
    <xf numFmtId="1" fontId="6" fillId="0" borderId="53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left" vertical="center" indent="1"/>
    </xf>
    <xf numFmtId="0" fontId="8" fillId="0" borderId="20" xfId="0" applyFont="1" applyBorder="1" applyAlignment="1">
      <alignment horizontal="left" vertical="center" indent="1"/>
    </xf>
    <xf numFmtId="0" fontId="3" fillId="3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center" vertical="top"/>
    </xf>
    <xf numFmtId="0" fontId="15" fillId="0" borderId="47" xfId="0" applyFont="1" applyBorder="1" applyAlignment="1">
      <alignment horizontal="left" vertical="center"/>
    </xf>
    <xf numFmtId="0" fontId="0" fillId="7" borderId="13" xfId="0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14" fontId="8" fillId="0" borderId="39" xfId="0" applyNumberFormat="1" applyFont="1" applyBorder="1" applyAlignment="1">
      <alignment horizontal="center" vertical="center"/>
    </xf>
    <xf numFmtId="0" fontId="16" fillId="0" borderId="32" xfId="2" applyFont="1" applyBorder="1" applyAlignment="1">
      <alignment horizontal="center" vertical="center"/>
    </xf>
    <xf numFmtId="0" fontId="16" fillId="0" borderId="39" xfId="1" applyNumberFormat="1" applyFont="1" applyBorder="1" applyAlignment="1">
      <alignment vertical="center"/>
    </xf>
    <xf numFmtId="1" fontId="16" fillId="0" borderId="28" xfId="2" applyNumberFormat="1" applyFont="1" applyBorder="1" applyAlignment="1">
      <alignment horizontal="center" vertical="center"/>
    </xf>
    <xf numFmtId="164" fontId="16" fillId="0" borderId="28" xfId="2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0" fontId="16" fillId="0" borderId="35" xfId="2" applyFont="1" applyBorder="1" applyAlignment="1">
      <alignment horizontal="center" vertical="center"/>
    </xf>
    <xf numFmtId="0" fontId="16" fillId="0" borderId="42" xfId="1" applyNumberFormat="1" applyFont="1" applyBorder="1" applyAlignment="1">
      <alignment vertical="center"/>
    </xf>
    <xf numFmtId="0" fontId="16" fillId="0" borderId="34" xfId="2" applyFont="1" applyBorder="1" applyAlignment="1">
      <alignment horizontal="center" vertical="center"/>
    </xf>
    <xf numFmtId="1" fontId="16" fillId="0" borderId="34" xfId="2" applyNumberFormat="1" applyFont="1" applyBorder="1" applyAlignment="1">
      <alignment horizontal="center" vertical="center"/>
    </xf>
    <xf numFmtId="164" fontId="16" fillId="0" borderId="34" xfId="2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0" fontId="16" fillId="0" borderId="36" xfId="2" applyFont="1" applyBorder="1" applyAlignment="1">
      <alignment horizontal="center" vertical="center"/>
    </xf>
    <xf numFmtId="1" fontId="16" fillId="0" borderId="36" xfId="2" applyNumberFormat="1" applyFont="1" applyBorder="1" applyAlignment="1">
      <alignment horizontal="center" vertical="center"/>
    </xf>
    <xf numFmtId="164" fontId="16" fillId="0" borderId="36" xfId="2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44" fontId="16" fillId="0" borderId="32" xfId="1" applyFont="1" applyBorder="1" applyAlignment="1">
      <alignment vertical="center"/>
    </xf>
    <xf numFmtId="44" fontId="16" fillId="0" borderId="35" xfId="1" applyFont="1" applyBorder="1" applyAlignment="1">
      <alignment vertical="center"/>
    </xf>
    <xf numFmtId="0" fontId="11" fillId="5" borderId="0" xfId="0" applyFont="1" applyFill="1" applyAlignment="1">
      <alignment horizontal="center" vertical="center" textRotation="90" wrapText="1"/>
    </xf>
    <xf numFmtId="0" fontId="11" fillId="0" borderId="47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27" xfId="0" applyFont="1" applyBorder="1" applyAlignment="1">
      <alignment horizontal="center" vertical="center" textRotation="90" wrapText="1"/>
    </xf>
    <xf numFmtId="0" fontId="11" fillId="0" borderId="53" xfId="0" applyFont="1" applyBorder="1" applyAlignment="1">
      <alignment horizontal="center" vertical="center" textRotation="90" wrapText="1"/>
    </xf>
    <xf numFmtId="0" fontId="3" fillId="0" borderId="16" xfId="0" applyFont="1" applyBorder="1" applyAlignment="1">
      <alignment vertical="center"/>
    </xf>
    <xf numFmtId="44" fontId="16" fillId="0" borderId="39" xfId="1" applyFont="1" applyBorder="1" applyAlignment="1">
      <alignment vertical="center"/>
    </xf>
    <xf numFmtId="44" fontId="16" fillId="0" borderId="42" xfId="1" applyFont="1" applyBorder="1" applyAlignment="1">
      <alignment vertical="center"/>
    </xf>
    <xf numFmtId="15" fontId="10" fillId="0" borderId="0" xfId="0" applyNumberFormat="1" applyFont="1" applyAlignment="1">
      <alignment horizontal="left" vertical="center" wrapText="1"/>
    </xf>
    <xf numFmtId="44" fontId="9" fillId="0" borderId="19" xfId="0" applyNumberFormat="1" applyFont="1" applyBorder="1" applyAlignment="1">
      <alignment horizontal="left" vertical="center"/>
    </xf>
    <xf numFmtId="0" fontId="16" fillId="0" borderId="57" xfId="2" applyFont="1" applyBorder="1" applyAlignment="1">
      <alignment horizontal="center" vertical="center"/>
    </xf>
    <xf numFmtId="1" fontId="16" fillId="0" borderId="57" xfId="2" applyNumberFormat="1" applyFont="1" applyBorder="1" applyAlignment="1">
      <alignment horizontal="center" vertical="center"/>
    </xf>
    <xf numFmtId="164" fontId="16" fillId="0" borderId="57" xfId="2" applyNumberFormat="1" applyFont="1" applyBorder="1" applyAlignment="1">
      <alignment horizontal="center" vertical="center"/>
    </xf>
    <xf numFmtId="164" fontId="6" fillId="0" borderId="57" xfId="0" applyNumberFormat="1" applyFont="1" applyBorder="1" applyAlignment="1">
      <alignment horizontal="center" vertical="center"/>
    </xf>
    <xf numFmtId="0" fontId="16" fillId="0" borderId="59" xfId="2" applyFont="1" applyBorder="1" applyAlignment="1">
      <alignment horizontal="center" vertical="center"/>
    </xf>
    <xf numFmtId="44" fontId="16" fillId="0" borderId="59" xfId="1" applyFont="1" applyBorder="1" applyAlignment="1">
      <alignment vertical="center"/>
    </xf>
    <xf numFmtId="0" fontId="16" fillId="0" borderId="60" xfId="1" applyNumberFormat="1" applyFont="1" applyBorder="1" applyAlignment="1">
      <alignment vertical="center"/>
    </xf>
    <xf numFmtId="0" fontId="16" fillId="0" borderId="61" xfId="2" applyFont="1" applyBorder="1" applyAlignment="1">
      <alignment horizontal="center" vertical="center"/>
    </xf>
    <xf numFmtId="44" fontId="16" fillId="0" borderId="60" xfId="1" applyFont="1" applyBorder="1" applyAlignment="1">
      <alignment vertical="center"/>
    </xf>
    <xf numFmtId="1" fontId="16" fillId="0" borderId="61" xfId="2" applyNumberFormat="1" applyFont="1" applyBorder="1" applyAlignment="1">
      <alignment horizontal="center" vertical="center"/>
    </xf>
    <xf numFmtId="164" fontId="16" fillId="0" borderId="61" xfId="2" applyNumberFormat="1" applyFont="1" applyBorder="1" applyAlignment="1">
      <alignment horizontal="center" vertical="center"/>
    </xf>
    <xf numFmtId="164" fontId="6" fillId="0" borderId="61" xfId="0" applyNumberFormat="1" applyFont="1" applyBorder="1" applyAlignment="1">
      <alignment horizontal="center" vertical="center"/>
    </xf>
    <xf numFmtId="0" fontId="16" fillId="0" borderId="63" xfId="2" applyFont="1" applyBorder="1" applyAlignment="1">
      <alignment horizontal="center" vertical="center"/>
    </xf>
    <xf numFmtId="44" fontId="16" fillId="0" borderId="63" xfId="1" applyFont="1" applyBorder="1" applyAlignment="1">
      <alignment vertical="center"/>
    </xf>
    <xf numFmtId="0" fontId="16" fillId="0" borderId="64" xfId="1" applyNumberFormat="1" applyFont="1" applyBorder="1" applyAlignment="1">
      <alignment vertical="center"/>
    </xf>
    <xf numFmtId="0" fontId="16" fillId="0" borderId="65" xfId="2" applyFont="1" applyBorder="1" applyAlignment="1">
      <alignment horizontal="center" vertical="center"/>
    </xf>
    <xf numFmtId="44" fontId="16" fillId="0" borderId="64" xfId="1" applyFont="1" applyBorder="1" applyAlignment="1">
      <alignment vertical="center"/>
    </xf>
    <xf numFmtId="1" fontId="16" fillId="0" borderId="65" xfId="2" applyNumberFormat="1" applyFont="1" applyBorder="1" applyAlignment="1">
      <alignment horizontal="center" vertical="center"/>
    </xf>
    <xf numFmtId="164" fontId="16" fillId="0" borderId="65" xfId="2" applyNumberFormat="1" applyFont="1" applyBorder="1" applyAlignment="1">
      <alignment horizontal="center" vertical="center"/>
    </xf>
    <xf numFmtId="164" fontId="6" fillId="0" borderId="65" xfId="0" applyNumberFormat="1" applyFont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1" fontId="7" fillId="5" borderId="18" xfId="0" applyNumberFormat="1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19" fillId="0" borderId="42" xfId="1" applyNumberFormat="1" applyFont="1" applyBorder="1" applyAlignment="1">
      <alignment vertical="center"/>
    </xf>
    <xf numFmtId="0" fontId="19" fillId="0" borderId="28" xfId="2" applyFont="1" applyBorder="1" applyAlignment="1">
      <alignment horizontal="center" vertical="center"/>
    </xf>
    <xf numFmtId="0" fontId="9" fillId="5" borderId="62" xfId="0" applyFont="1" applyFill="1" applyBorder="1" applyAlignment="1">
      <alignment horizontal="center" vertical="center" textRotation="90" wrapText="1"/>
    </xf>
    <xf numFmtId="0" fontId="9" fillId="5" borderId="56" xfId="0" applyFont="1" applyFill="1" applyBorder="1" applyAlignment="1">
      <alignment horizontal="center" vertical="center" textRotation="90" wrapText="1"/>
    </xf>
    <xf numFmtId="0" fontId="9" fillId="5" borderId="58" xfId="0" applyFont="1" applyFill="1" applyBorder="1" applyAlignment="1">
      <alignment horizontal="center" vertical="center" textRotation="90" wrapText="1"/>
    </xf>
    <xf numFmtId="0" fontId="18" fillId="5" borderId="55" xfId="0" applyFont="1" applyFill="1" applyBorder="1" applyAlignment="1">
      <alignment horizontal="center" vertical="center" textRotation="90" wrapText="1"/>
    </xf>
    <xf numFmtId="0" fontId="18" fillId="5" borderId="56" xfId="0" applyFont="1" applyFill="1" applyBorder="1" applyAlignment="1">
      <alignment horizontal="center" vertical="center" textRotation="90" wrapText="1"/>
    </xf>
    <xf numFmtId="0" fontId="18" fillId="5" borderId="58" xfId="0" applyFont="1" applyFill="1" applyBorder="1" applyAlignment="1">
      <alignment horizontal="center" vertical="center" textRotation="90" wrapText="1"/>
    </xf>
    <xf numFmtId="0" fontId="6" fillId="0" borderId="38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44" fontId="7" fillId="5" borderId="25" xfId="1" applyFont="1" applyFill="1" applyBorder="1" applyAlignment="1">
      <alignment horizontal="left" vertical="center"/>
    </xf>
    <xf numFmtId="44" fontId="7" fillId="5" borderId="27" xfId="1" applyFont="1" applyFill="1" applyBorder="1" applyAlignment="1">
      <alignment horizontal="left" vertical="center"/>
    </xf>
    <xf numFmtId="0" fontId="13" fillId="0" borderId="18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4" fillId="0" borderId="2" xfId="1" applyNumberFormat="1" applyFont="1" applyBorder="1" applyAlignment="1">
      <alignment horizontal="left" vertical="center" wrapText="1" indent="1"/>
    </xf>
    <xf numFmtId="0" fontId="14" fillId="0" borderId="33" xfId="1" applyNumberFormat="1" applyFont="1" applyBorder="1" applyAlignment="1">
      <alignment horizontal="left" vertical="center" wrapText="1" indent="1"/>
    </xf>
    <xf numFmtId="0" fontId="17" fillId="0" borderId="19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33" xfId="0" applyFont="1" applyBorder="1" applyAlignment="1">
      <alignment horizontal="left" vertical="center"/>
    </xf>
    <xf numFmtId="0" fontId="6" fillId="0" borderId="39" xfId="0" applyFont="1" applyBorder="1" applyAlignment="1">
      <alignment horizontal="left" vertical="center"/>
    </xf>
    <xf numFmtId="0" fontId="14" fillId="0" borderId="32" xfId="1" applyNumberFormat="1" applyFont="1" applyBorder="1" applyAlignment="1">
      <alignment horizontal="left" vertical="center" indent="1"/>
    </xf>
    <xf numFmtId="0" fontId="14" fillId="0" borderId="33" xfId="1" applyNumberFormat="1" applyFont="1" applyBorder="1" applyAlignment="1">
      <alignment horizontal="left" vertical="center" indent="1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1" fillId="0" borderId="23" xfId="0" applyFont="1" applyBorder="1" applyAlignment="1">
      <alignment horizontal="center" vertical="center" textRotation="90"/>
    </xf>
    <xf numFmtId="0" fontId="11" fillId="0" borderId="24" xfId="0" applyFont="1" applyBorder="1" applyAlignment="1">
      <alignment horizontal="center" vertical="center" textRotation="90"/>
    </xf>
    <xf numFmtId="0" fontId="14" fillId="0" borderId="23" xfId="1" applyNumberFormat="1" applyFont="1" applyBorder="1" applyAlignment="1">
      <alignment horizontal="left" vertical="center" indent="1"/>
    </xf>
    <xf numFmtId="0" fontId="14" fillId="0" borderId="2" xfId="1" applyNumberFormat="1" applyFont="1" applyBorder="1" applyAlignment="1">
      <alignment horizontal="left" vertical="center" indent="1"/>
    </xf>
    <xf numFmtId="0" fontId="6" fillId="0" borderId="24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7" fillId="5" borderId="19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24" xfId="0" applyFont="1" applyFill="1" applyBorder="1" applyAlignment="1">
      <alignment horizontal="center" vertical="center" wrapText="1"/>
    </xf>
    <xf numFmtId="43" fontId="16" fillId="0" borderId="29" xfId="1" applyNumberFormat="1" applyFont="1" applyBorder="1" applyAlignment="1">
      <alignment horizontal="left" vertical="center"/>
    </xf>
    <xf numFmtId="43" fontId="16" fillId="0" borderId="31" xfId="1" applyNumberFormat="1" applyFont="1" applyBorder="1" applyAlignment="1">
      <alignment horizontal="left" vertical="center"/>
    </xf>
    <xf numFmtId="43" fontId="16" fillId="0" borderId="37" xfId="1" applyNumberFormat="1" applyFont="1" applyBorder="1" applyAlignment="1">
      <alignment horizontal="left" vertical="center"/>
    </xf>
    <xf numFmtId="43" fontId="16" fillId="0" borderId="43" xfId="1" applyNumberFormat="1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1" fontId="7" fillId="2" borderId="32" xfId="0" applyNumberFormat="1" applyFont="1" applyFill="1" applyBorder="1" applyAlignment="1">
      <alignment horizontal="center"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164" fontId="7" fillId="2" borderId="23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24" xfId="0" applyNumberFormat="1" applyFont="1" applyFill="1" applyBorder="1" applyAlignment="1">
      <alignment horizontal="center" vertical="center"/>
    </xf>
    <xf numFmtId="0" fontId="9" fillId="2" borderId="32" xfId="1" applyNumberFormat="1" applyFont="1" applyFill="1" applyBorder="1" applyAlignment="1">
      <alignment horizontal="right" vertical="center" indent="1"/>
    </xf>
    <xf numFmtId="0" fontId="9" fillId="2" borderId="33" xfId="1" applyNumberFormat="1" applyFont="1" applyFill="1" applyBorder="1" applyAlignment="1">
      <alignment horizontal="right" vertical="center" indent="1"/>
    </xf>
    <xf numFmtId="0" fontId="9" fillId="2" borderId="39" xfId="1" applyNumberFormat="1" applyFont="1" applyFill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0" fillId="0" borderId="23" xfId="0" applyNumberFormat="1" applyFont="1" applyBorder="1" applyAlignment="1">
      <alignment horizontal="left" vertical="top" indent="1"/>
    </xf>
    <xf numFmtId="15" fontId="10" fillId="0" borderId="2" xfId="0" applyNumberFormat="1" applyFont="1" applyBorder="1" applyAlignment="1">
      <alignment horizontal="left" vertical="top" indent="1"/>
    </xf>
    <xf numFmtId="15" fontId="10" fillId="0" borderId="24" xfId="0" applyNumberFormat="1" applyFont="1" applyBorder="1" applyAlignment="1">
      <alignment horizontal="left" vertical="top" indent="1"/>
    </xf>
    <xf numFmtId="0" fontId="9" fillId="2" borderId="37" xfId="1" applyNumberFormat="1" applyFont="1" applyFill="1" applyBorder="1" applyAlignment="1">
      <alignment horizontal="right" vertical="center" indent="1"/>
    </xf>
    <xf numFmtId="0" fontId="9" fillId="2" borderId="38" xfId="1" applyNumberFormat="1" applyFont="1" applyFill="1" applyBorder="1" applyAlignment="1">
      <alignment horizontal="right" vertical="center" indent="1"/>
    </xf>
    <xf numFmtId="0" fontId="9" fillId="2" borderId="43" xfId="1" applyNumberFormat="1" applyFont="1" applyFill="1" applyBorder="1" applyAlignment="1">
      <alignment horizontal="right" vertical="center" indent="1"/>
    </xf>
    <xf numFmtId="0" fontId="3" fillId="0" borderId="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0">
    <dxf>
      <fill>
        <patternFill>
          <bgColor rgb="FFFFCCCC"/>
        </patternFill>
      </fill>
    </dxf>
    <dxf>
      <font>
        <color rgb="FFFFCCCC"/>
      </font>
      <fill>
        <patternFill>
          <bgColor rgb="FFFFCCC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0000"/>
      </font>
    </dxf>
    <dxf>
      <font>
        <color rgb="FFC00000"/>
      </font>
      <fill>
        <patternFill>
          <bgColor rgb="FFFFCCCC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CCCC"/>
      <color rgb="FFFFBDBD"/>
      <color rgb="FFFFD1D1"/>
      <color rgb="FFDAE9F8"/>
      <color rgb="FF6BA5DF"/>
      <color rgb="FF679CE3"/>
      <color rgb="FF0A74BD"/>
      <color rgb="FFFFB3B3"/>
      <color rgb="FFFFB7B7"/>
      <color rgb="FFF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267935</xdr:colOff>
      <xdr:row>2</xdr:row>
      <xdr:rowOff>37348</xdr:rowOff>
    </xdr:from>
    <xdr:to>
      <xdr:col>3</xdr:col>
      <xdr:colOff>272880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4578" y="1263174"/>
          <a:ext cx="309745" cy="5279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88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303510</xdr:colOff>
      <xdr:row>0</xdr:row>
      <xdr:rowOff>821635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1272961" y="1"/>
          <a:ext cx="9609649" cy="821634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104424</xdr:colOff>
      <xdr:row>17</xdr:row>
      <xdr:rowOff>146266</xdr:rowOff>
    </xdr:from>
    <xdr:to>
      <xdr:col>9</xdr:col>
      <xdr:colOff>284921</xdr:colOff>
      <xdr:row>65</xdr:row>
      <xdr:rowOff>41563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9281EE5-3E85-4B31-BC09-65F13842A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6285" y="3896631"/>
          <a:ext cx="5726532" cy="81646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350520</xdr:colOff>
      <xdr:row>197</xdr:row>
      <xdr:rowOff>45720</xdr:rowOff>
    </xdr:from>
    <xdr:to>
      <xdr:col>12</xdr:col>
      <xdr:colOff>68808</xdr:colOff>
      <xdr:row>253</xdr:row>
      <xdr:rowOff>131860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7B5F24-FF9D-426A-B0E9-963797EF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36073080"/>
          <a:ext cx="6782028" cy="10327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167640</xdr:rowOff>
        </xdr:from>
        <xdr:to>
          <xdr:col>11</xdr:col>
          <xdr:colOff>167640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471526</xdr:colOff>
      <xdr:row>0</xdr:row>
      <xdr:rowOff>0</xdr:rowOff>
    </xdr:from>
    <xdr:to>
      <xdr:col>18</xdr:col>
      <xdr:colOff>400078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8906" y="0"/>
          <a:ext cx="6024552" cy="89839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89"/>
  <sheetViews>
    <sheetView showGridLines="0" showRowColHeaders="0" tabSelected="1" showRuler="0" zoomScale="120" zoomScaleNormal="120" zoomScaleSheetLayoutView="100" workbookViewId="0">
      <pane ySplit="1" topLeftCell="A2" activePane="bottomLeft" state="frozen"/>
      <selection pane="bottomLeft" activeCell="F9" sqref="F9:I9"/>
    </sheetView>
  </sheetViews>
  <sheetFormatPr baseColWidth="10" defaultColWidth="11.109375" defaultRowHeight="12" x14ac:dyDescent="0.3"/>
  <cols>
    <col min="1" max="1" width="18.5546875" style="51" customWidth="1"/>
    <col min="2" max="2" width="4.44140625" style="35" customWidth="1"/>
    <col min="3" max="3" width="4.44140625" style="79" customWidth="1"/>
    <col min="4" max="4" width="8.88671875" style="35" customWidth="1"/>
    <col min="5" max="5" width="6.88671875" style="36" customWidth="1"/>
    <col min="6" max="6" width="31.33203125" style="36" customWidth="1"/>
    <col min="7" max="7" width="8.88671875" style="35" customWidth="1"/>
    <col min="8" max="8" width="9.33203125" style="36" customWidth="1"/>
    <col min="9" max="9" width="31.33203125" style="36" customWidth="1"/>
    <col min="10" max="10" width="10.109375" style="37" customWidth="1"/>
    <col min="11" max="12" width="10.109375" style="35" customWidth="1"/>
    <col min="13" max="13" width="4.44140625" style="35" customWidth="1"/>
    <col min="14" max="14" width="5.44140625" style="35" customWidth="1"/>
    <col min="15" max="16384" width="11.109375" style="35"/>
  </cols>
  <sheetData>
    <row r="1" spans="2:13" ht="70.95" customHeight="1" x14ac:dyDescent="0.3"/>
    <row r="2" spans="2:13" ht="25.95" customHeight="1" x14ac:dyDescent="0.3">
      <c r="B2" s="41"/>
      <c r="C2" s="80"/>
      <c r="D2" s="38"/>
      <c r="E2" s="39"/>
      <c r="F2" s="57"/>
      <c r="G2" s="38"/>
      <c r="H2" s="39"/>
      <c r="I2" s="39"/>
      <c r="J2" s="40"/>
      <c r="K2" s="38"/>
      <c r="L2" s="38"/>
      <c r="M2" s="43"/>
    </row>
    <row r="3" spans="2:13" ht="12.45" customHeight="1" x14ac:dyDescent="0.3">
      <c r="B3" s="42"/>
      <c r="C3" s="144" t="s">
        <v>0</v>
      </c>
      <c r="D3" s="145"/>
      <c r="E3" s="128" t="s">
        <v>1</v>
      </c>
      <c r="F3" s="129"/>
      <c r="G3" s="129"/>
      <c r="H3" s="129"/>
      <c r="I3" s="130"/>
      <c r="J3" s="124" t="s">
        <v>2</v>
      </c>
      <c r="K3" s="124"/>
      <c r="L3" s="124"/>
      <c r="M3" s="44"/>
    </row>
    <row r="4" spans="2:13" ht="12.45" customHeight="1" x14ac:dyDescent="0.3">
      <c r="B4" s="42"/>
      <c r="C4" s="146"/>
      <c r="D4" s="147"/>
      <c r="E4" s="131"/>
      <c r="F4" s="132"/>
      <c r="G4" s="132"/>
      <c r="H4" s="132"/>
      <c r="I4" s="133"/>
      <c r="J4" s="125"/>
      <c r="K4" s="125"/>
      <c r="L4" s="125"/>
      <c r="M4" s="44"/>
    </row>
    <row r="5" spans="2:13" ht="12.45" customHeight="1" x14ac:dyDescent="0.3">
      <c r="B5" s="42"/>
      <c r="C5" s="146"/>
      <c r="D5" s="147"/>
      <c r="E5" s="134" t="s">
        <v>3</v>
      </c>
      <c r="F5" s="135"/>
      <c r="G5" s="135"/>
      <c r="H5" s="135"/>
      <c r="I5" s="136"/>
      <c r="J5" s="154" t="s">
        <v>4</v>
      </c>
      <c r="K5" s="155"/>
      <c r="L5" s="152" t="s">
        <v>5</v>
      </c>
      <c r="M5" s="44"/>
    </row>
    <row r="6" spans="2:13" ht="12.45" customHeight="1" x14ac:dyDescent="0.3">
      <c r="B6" s="42"/>
      <c r="C6" s="148"/>
      <c r="D6" s="149"/>
      <c r="E6" s="137" t="s">
        <v>6</v>
      </c>
      <c r="F6" s="138"/>
      <c r="G6" s="138"/>
      <c r="H6" s="138"/>
      <c r="I6" s="139"/>
      <c r="J6" s="156"/>
      <c r="K6" s="157"/>
      <c r="L6" s="153"/>
      <c r="M6" s="44"/>
    </row>
    <row r="7" spans="2:13" ht="9.4499999999999993" customHeight="1" x14ac:dyDescent="0.3">
      <c r="B7" s="42"/>
      <c r="C7" s="81"/>
      <c r="D7" s="2"/>
      <c r="E7" s="2"/>
      <c r="F7" s="2"/>
      <c r="G7" s="2"/>
      <c r="H7" s="2"/>
      <c r="I7" s="2"/>
      <c r="J7" s="25"/>
      <c r="K7" s="2"/>
      <c r="L7" s="2"/>
      <c r="M7" s="44"/>
    </row>
    <row r="8" spans="2:13" ht="17.25" customHeight="1" x14ac:dyDescent="0.3">
      <c r="B8" s="42"/>
      <c r="C8" s="142" t="s">
        <v>7</v>
      </c>
      <c r="D8" s="143"/>
      <c r="E8" s="143"/>
      <c r="F8" s="140" t="str">
        <f>Notas!B4&amp;" "&amp;Notas!B3</f>
        <v xml:space="preserve"> </v>
      </c>
      <c r="G8" s="140"/>
      <c r="H8" s="140"/>
      <c r="I8" s="141"/>
      <c r="J8" s="127" t="s">
        <v>8</v>
      </c>
      <c r="K8" s="127"/>
      <c r="L8" s="61">
        <f ca="1">TODAY()</f>
        <v>46280</v>
      </c>
      <c r="M8" s="44"/>
    </row>
    <row r="9" spans="2:13" ht="17.25" customHeight="1" x14ac:dyDescent="0.3">
      <c r="B9" s="42"/>
      <c r="C9" s="150" t="s">
        <v>9</v>
      </c>
      <c r="D9" s="151"/>
      <c r="E9" s="151"/>
      <c r="F9" s="120" t="s">
        <v>276</v>
      </c>
      <c r="G9" s="120"/>
      <c r="H9" s="120"/>
      <c r="I9" s="121"/>
      <c r="J9" s="126" t="s">
        <v>10</v>
      </c>
      <c r="K9" s="126"/>
      <c r="L9" s="60" t="str">
        <f>LEFT(Notas!A9,4)&amp;" - "&amp;IF((MID(Notas!A9,8,1))&gt;2,2,1)</f>
        <v xml:space="preserve"> - 2</v>
      </c>
      <c r="M9" s="44"/>
    </row>
    <row r="10" spans="2:13" ht="9.4499999999999993" customHeight="1" x14ac:dyDescent="0.3">
      <c r="B10" s="42"/>
      <c r="C10" s="81"/>
      <c r="D10" s="19"/>
      <c r="E10" s="21"/>
      <c r="F10" s="21"/>
      <c r="G10" s="19"/>
      <c r="H10" s="26"/>
      <c r="I10" s="21"/>
      <c r="J10" s="20"/>
      <c r="K10" s="19"/>
      <c r="L10" s="19"/>
      <c r="M10" s="44"/>
    </row>
    <row r="11" spans="2:13" ht="18" customHeight="1" x14ac:dyDescent="0.3">
      <c r="B11" s="42"/>
      <c r="C11" s="158" t="s">
        <v>11</v>
      </c>
      <c r="D11" s="159"/>
      <c r="E11" s="122" t="s">
        <v>12</v>
      </c>
      <c r="F11" s="123"/>
      <c r="G11" s="109" t="s">
        <v>11</v>
      </c>
      <c r="H11" s="122" t="s">
        <v>13</v>
      </c>
      <c r="I11" s="123"/>
      <c r="J11" s="110" t="s">
        <v>14</v>
      </c>
      <c r="K11" s="111" t="s">
        <v>15</v>
      </c>
      <c r="L11" s="111" t="s">
        <v>16</v>
      </c>
      <c r="M11" s="44"/>
    </row>
    <row r="12" spans="2:13" ht="13.95" customHeight="1" x14ac:dyDescent="0.3">
      <c r="B12" s="42"/>
      <c r="C12" s="117" t="s">
        <v>267</v>
      </c>
      <c r="D12" s="62" t="s">
        <v>41</v>
      </c>
      <c r="E12" s="77" t="s">
        <v>42</v>
      </c>
      <c r="F12" s="63"/>
      <c r="G12" s="113" t="str">
        <f>IF($F$8=" ","",IFERROR(IF($L$9="","",IFERROR(VLOOKUP(IFERROR(VLOOKUP(D12,Notas!B:B,1,FALSE),VLOOKUP(D12,Equivalencia!A:F,5,FALSE)),Notas!B:B,1,FALSE),VLOOKUP(D12,Equivalencia!A:H,8,FALSE))),""))</f>
        <v/>
      </c>
      <c r="H12" s="77" t="str">
        <f>IFERROR(IF($L$9="","",IFERROR(IFERROR(VLOOKUP(G12,Equivalencia!A:B,2,FALSE),VLOOKUP(G12,Equivalencia!E:F,2,FALSE)),VLOOKUP(G12,Equivalencia!H:I,2,FALSE))),"")</f>
        <v/>
      </c>
      <c r="I12" s="85"/>
      <c r="J12" s="64">
        <v>2</v>
      </c>
      <c r="K12" s="65" t="str">
        <f>IF($F$8=" ","",VLOOKUP(G12,Notas!B:K,8,FALSE)/1000)</f>
        <v/>
      </c>
      <c r="L12" s="66" t="str">
        <f>IFERROR(IF(VLOOKUP(G12,Notas!B:K,9,FALSE)=".000","",VLOOKUP(G12,Notas!B:K,9,FALSE)/1000),"")</f>
        <v/>
      </c>
      <c r="M12" s="44"/>
    </row>
    <row r="13" spans="2:13" ht="13.95" customHeight="1" x14ac:dyDescent="0.3">
      <c r="B13" s="42"/>
      <c r="C13" s="118"/>
      <c r="D13" s="67" t="s">
        <v>54</v>
      </c>
      <c r="E13" s="78" t="s">
        <v>40</v>
      </c>
      <c r="F13" s="68"/>
      <c r="G13" s="69" t="str">
        <f>IF($F$8=" ","",IFERROR(IF($L$9="","",IFERROR(VLOOKUP(IFERROR(VLOOKUP(D13,Notas!B:B,1,FALSE),VLOOKUP(D13,Equivalencia!A:F,5,FALSE)),Notas!B:B,1,FALSE),VLOOKUP(D13,Equivalencia!A:H,8,FALSE))),""))</f>
        <v/>
      </c>
      <c r="H13" s="78" t="str">
        <f>IFERROR(IF($L$9="","",IFERROR(IFERROR(VLOOKUP(G13,Equivalencia!A:B,2,FALSE),VLOOKUP(G13,Equivalencia!E:F,2,FALSE)),VLOOKUP(G13,Equivalencia!H:I,2,FALSE))),"")</f>
        <v/>
      </c>
      <c r="I13" s="86"/>
      <c r="J13" s="70">
        <v>2</v>
      </c>
      <c r="K13" s="71" t="str">
        <f>IF($F$8=" ","",VLOOKUP(G13,Notas!B:K,8,FALSE)/1000)</f>
        <v/>
      </c>
      <c r="L13" s="72" t="str">
        <f>IFERROR(IF(VLOOKUP(G13,Notas!B:K,9,FALSE)=".000","",VLOOKUP(G13,Notas!B:K,9,FALSE)/1000),"")</f>
        <v/>
      </c>
      <c r="M13" s="44"/>
    </row>
    <row r="14" spans="2:13" ht="13.95" customHeight="1" x14ac:dyDescent="0.3">
      <c r="B14" s="42"/>
      <c r="C14" s="118"/>
      <c r="D14" s="67" t="s">
        <v>231</v>
      </c>
      <c r="E14" s="78" t="s">
        <v>197</v>
      </c>
      <c r="F14" s="112"/>
      <c r="G14" s="69" t="str">
        <f>IF($F$8=" ","",IFERROR(IF($L$9="","",IFERROR(VLOOKUP(IFERROR(VLOOKUP(D14,Notas!B:B,1,FALSE),VLOOKUP(D14,Equivalencia!A:F,5,FALSE)),Notas!B:B,1,FALSE),VLOOKUP(D14,Equivalencia!A:H,8,FALSE))),""))</f>
        <v/>
      </c>
      <c r="H14" s="78" t="str">
        <f>IFERROR(IF($L$9="","",IFERROR(IFERROR(VLOOKUP(G14,Equivalencia!A:B,2,FALSE),VLOOKUP(G14,Equivalencia!E:F,2,FALSE)),VLOOKUP(G14,Equivalencia!H:I,2,FALSE))),"")</f>
        <v/>
      </c>
      <c r="I14" s="86"/>
      <c r="J14" s="70">
        <v>2</v>
      </c>
      <c r="K14" s="71" t="str">
        <f>IF($F$8=" ","",VLOOKUP(G14,Notas!B:K,8,FALSE)/1000)</f>
        <v/>
      </c>
      <c r="L14" s="72" t="str">
        <f>IFERROR(IF(VLOOKUP(G14,Notas!B:K,9,FALSE)=".000","",VLOOKUP(G14,Notas!B:K,9,FALSE)/1000),"")</f>
        <v/>
      </c>
      <c r="M14" s="44"/>
    </row>
    <row r="15" spans="2:13" ht="13.95" customHeight="1" x14ac:dyDescent="0.3">
      <c r="B15" s="42"/>
      <c r="C15" s="119"/>
      <c r="D15" s="93" t="s">
        <v>232</v>
      </c>
      <c r="E15" s="94" t="s">
        <v>198</v>
      </c>
      <c r="F15" s="95"/>
      <c r="G15" s="96" t="str">
        <f>IF($F$8=" ","",IFERROR(IF($L$9="","",IFERROR(VLOOKUP(IFERROR(VLOOKUP(D15,Notas!B:B,1,FALSE),VLOOKUP(D15,Equivalencia!A:F,5,FALSE)),Notas!B:B,1,FALSE),VLOOKUP(D15,Equivalencia!A:H,8,FALSE))),""))</f>
        <v/>
      </c>
      <c r="H15" s="94" t="str">
        <f>IFERROR(IF($L$9="","",IFERROR(IFERROR(VLOOKUP(G15,Equivalencia!A:B,2,FALSE),VLOOKUP(G15,Equivalencia!E:F,2,FALSE)),VLOOKUP(G15,Equivalencia!H:I,2,FALSE))),"")</f>
        <v/>
      </c>
      <c r="I15" s="97"/>
      <c r="J15" s="98">
        <v>2</v>
      </c>
      <c r="K15" s="99" t="str">
        <f>IF($F$8=" ","",VLOOKUP(G15,Notas!B:K,8,FALSE)/1000)</f>
        <v/>
      </c>
      <c r="L15" s="100" t="str">
        <f>IFERROR(IF(VLOOKUP(G15,Notas!B:K,9,FALSE)=".000","",VLOOKUP(G15,Notas!B:K,9,FALSE)/1000),"")</f>
        <v/>
      </c>
      <c r="M15" s="44"/>
    </row>
    <row r="16" spans="2:13" ht="13.95" customHeight="1" x14ac:dyDescent="0.3">
      <c r="B16" s="42"/>
      <c r="C16" s="114" t="s">
        <v>145</v>
      </c>
      <c r="D16" s="101" t="s">
        <v>17</v>
      </c>
      <c r="E16" s="102" t="s">
        <v>55</v>
      </c>
      <c r="F16" s="103"/>
      <c r="G16" s="104" t="str">
        <f>IF($F$8=" ","",IFERROR(IF($L$9="","",IFERROR(VLOOKUP(IFERROR(VLOOKUP(D16,Notas!B:B,1,FALSE),VLOOKUP(D16,Equivalencia!A:F,5,FALSE)),Notas!B:B,1,FALSE),VLOOKUP(D16,Equivalencia!A:H,8,FALSE))),""))</f>
        <v/>
      </c>
      <c r="H16" s="102" t="str">
        <f>IFERROR(IF($L$9="","",IFERROR(IFERROR(VLOOKUP(G16,Equivalencia!A:B,2,FALSE),VLOOKUP(G16,Equivalencia!E:F,2,FALSE)),VLOOKUP(G16,Equivalencia!H:I,2,FALSE))),"")</f>
        <v/>
      </c>
      <c r="I16" s="105"/>
      <c r="J16" s="106">
        <v>2</v>
      </c>
      <c r="K16" s="107" t="str">
        <f>IF($F$8=" ","",VLOOKUP(G16,Notas!B:K,8,FALSE)/1000)</f>
        <v/>
      </c>
      <c r="L16" s="108" t="str">
        <f>IFERROR(IF(VLOOKUP(G16,Notas!B:K,9,FALSE)=".000","",VLOOKUP(G16,Notas!B:K,9,FALSE)/1000),"")</f>
        <v/>
      </c>
      <c r="M16" s="44"/>
    </row>
    <row r="17" spans="2:13" ht="13.95" customHeight="1" x14ac:dyDescent="0.3">
      <c r="B17" s="42"/>
      <c r="C17" s="115"/>
      <c r="D17" s="67" t="s">
        <v>18</v>
      </c>
      <c r="E17" s="78" t="s">
        <v>59</v>
      </c>
      <c r="F17" s="68"/>
      <c r="G17" s="69" t="str">
        <f>IF($F$8=" ","",IFERROR(IF($L$9="","",IFERROR(VLOOKUP(IFERROR(VLOOKUP(D17,Notas!B:B,1,FALSE),VLOOKUP(D17,Equivalencia!A:F,5,FALSE)),Notas!B:B,1,FALSE),VLOOKUP(D17,Equivalencia!A:H,8,FALSE))),""))</f>
        <v/>
      </c>
      <c r="H17" s="78" t="str">
        <f>IFERROR(IF($L$9="","",IFERROR(IFERROR(VLOOKUP(G17,Equivalencia!A:B,2,FALSE),VLOOKUP(G17,Equivalencia!E:F,2,FALSE)),VLOOKUP(G17,Equivalencia!H:I,2,FALSE))),"")</f>
        <v/>
      </c>
      <c r="I17" s="86"/>
      <c r="J17" s="70">
        <v>4</v>
      </c>
      <c r="K17" s="71" t="str">
        <f>IF($F$8=" ","",VLOOKUP(G17,Notas!B:K,8,FALSE)/1000)</f>
        <v/>
      </c>
      <c r="L17" s="72" t="str">
        <f>IFERROR(IF(VLOOKUP(G17,Notas!B:K,9,FALSE)=".000","",VLOOKUP(G17,Notas!B:K,9,FALSE)/1000),"")</f>
        <v/>
      </c>
      <c r="M17" s="44"/>
    </row>
    <row r="18" spans="2:13" ht="13.95" customHeight="1" x14ac:dyDescent="0.3">
      <c r="B18" s="42"/>
      <c r="C18" s="115"/>
      <c r="D18" s="67" t="s">
        <v>19</v>
      </c>
      <c r="E18" s="78" t="s">
        <v>62</v>
      </c>
      <c r="F18" s="68"/>
      <c r="G18" s="69" t="str">
        <f>IF($F$8=" ","",IFERROR(IF($L$9="","",IFERROR(VLOOKUP(IFERROR(VLOOKUP(D18,Notas!B:B,1,FALSE),VLOOKUP(D18,Equivalencia!A:F,5,FALSE)),Notas!B:B,1,FALSE),VLOOKUP(D18,Equivalencia!A:H,8,FALSE))),""))</f>
        <v/>
      </c>
      <c r="H18" s="78" t="str">
        <f>IFERROR(IF($L$9="","",IFERROR(IFERROR(VLOOKUP(G18,Equivalencia!A:B,2,FALSE),VLOOKUP(G18,Equivalencia!E:F,2,FALSE)),VLOOKUP(G18,Equivalencia!H:I,2,FALSE))),"")</f>
        <v/>
      </c>
      <c r="I18" s="86"/>
      <c r="J18" s="70">
        <v>4</v>
      </c>
      <c r="K18" s="71" t="str">
        <f>IF($F$8=" ","",VLOOKUP(G18,Notas!B:K,8,FALSE)/1000)</f>
        <v/>
      </c>
      <c r="L18" s="72" t="str">
        <f>IFERROR(IF(VLOOKUP(G18,Notas!B:K,9,FALSE)=".000","",VLOOKUP(G18,Notas!B:K,9,FALSE)/1000),"")</f>
        <v/>
      </c>
      <c r="M18" s="44"/>
    </row>
    <row r="19" spans="2:13" ht="13.95" customHeight="1" x14ac:dyDescent="0.3">
      <c r="B19" s="42"/>
      <c r="C19" s="115"/>
      <c r="D19" s="67" t="s">
        <v>20</v>
      </c>
      <c r="E19" s="78" t="s">
        <v>152</v>
      </c>
      <c r="F19" s="68"/>
      <c r="G19" s="69" t="str">
        <f>IF($F$8=" ","",IFERROR(IF($L$9="","",IFERROR(VLOOKUP(IFERROR(VLOOKUP(D19,Notas!B:B,1,FALSE),VLOOKUP(D19,Equivalencia!A:F,5,FALSE)),Notas!B:B,1,FALSE),VLOOKUP(D19,Equivalencia!A:H,8,FALSE))),""))</f>
        <v/>
      </c>
      <c r="H19" s="78" t="str">
        <f>IFERROR(IF($L$9="","",IFERROR(IFERROR(VLOOKUP(G19,Equivalencia!A:B,2,FALSE),VLOOKUP(G19,Equivalencia!E:F,2,FALSE)),VLOOKUP(G19,Equivalencia!H:I,2,FALSE))),"")</f>
        <v/>
      </c>
      <c r="I19" s="86"/>
      <c r="J19" s="70">
        <v>4</v>
      </c>
      <c r="K19" s="71" t="str">
        <f>IF($F$8=" ","",VLOOKUP(G19,Notas!B:K,8,FALSE)/1000)</f>
        <v/>
      </c>
      <c r="L19" s="72" t="str">
        <f>IFERROR(IF(VLOOKUP(G19,Notas!B:K,9,FALSE)=".000","",VLOOKUP(G19,Notas!B:K,9,FALSE)/1000),"")</f>
        <v/>
      </c>
      <c r="M19" s="44"/>
    </row>
    <row r="20" spans="2:13" ht="13.95" customHeight="1" x14ac:dyDescent="0.3">
      <c r="B20" s="42"/>
      <c r="C20" s="115"/>
      <c r="D20" s="67" t="s">
        <v>22</v>
      </c>
      <c r="E20" s="78" t="s">
        <v>23</v>
      </c>
      <c r="F20" s="68"/>
      <c r="G20" s="69" t="str">
        <f>IF($F$8=" ","",IFERROR(IF($L$9="","",IFERROR(VLOOKUP(IFERROR(VLOOKUP(D20,Notas!B:B,1,FALSE),VLOOKUP(D20,Equivalencia!A:F,5,FALSE)),Notas!B:B,1,FALSE),VLOOKUP(D20,Equivalencia!A:H,8,FALSE))),""))</f>
        <v/>
      </c>
      <c r="H20" s="78" t="str">
        <f>IFERROR(IF($L$9="","",IFERROR(IFERROR(VLOOKUP(G20,Equivalencia!A:B,2,FALSE),VLOOKUP(G20,Equivalencia!E:F,2,FALSE)),VLOOKUP(G20,Equivalencia!H:I,2,FALSE))),"")</f>
        <v/>
      </c>
      <c r="I20" s="86"/>
      <c r="J20" s="70">
        <v>4</v>
      </c>
      <c r="K20" s="71" t="str">
        <f>IF($F$8=" ","",VLOOKUP(G20,Notas!B:K,8,FALSE)/1000)</f>
        <v/>
      </c>
      <c r="L20" s="72" t="str">
        <f>IFERROR(IF(VLOOKUP(G20,Notas!B:K,9,FALSE)=".000","",VLOOKUP(G20,Notas!B:K,9,FALSE)/1000),"")</f>
        <v/>
      </c>
      <c r="M20" s="44"/>
    </row>
    <row r="21" spans="2:13" ht="13.95" customHeight="1" x14ac:dyDescent="0.3">
      <c r="B21" s="42"/>
      <c r="C21" s="115"/>
      <c r="D21" s="67" t="s">
        <v>120</v>
      </c>
      <c r="E21" s="78" t="s">
        <v>153</v>
      </c>
      <c r="F21" s="68"/>
      <c r="G21" s="69" t="str">
        <f>IF($F$8=" ","",IFERROR(IF($L$9="","",IFERROR(VLOOKUP(IFERROR(VLOOKUP(D21,Notas!B:B,1,FALSE),VLOOKUP(D21,Equivalencia!A:F,5,FALSE)),Notas!B:B,1,FALSE),VLOOKUP(D21,Equivalencia!A:H,8,FALSE))),""))</f>
        <v/>
      </c>
      <c r="H21" s="78" t="str">
        <f>IFERROR(IF($L$9="","",IFERROR(IFERROR(VLOOKUP(G21,Equivalencia!A:B,2,FALSE),VLOOKUP(G21,Equivalencia!E:F,2,FALSE)),VLOOKUP(G21,Equivalencia!H:I,2,FALSE))),"")</f>
        <v/>
      </c>
      <c r="I21" s="86"/>
      <c r="J21" s="70">
        <v>4</v>
      </c>
      <c r="K21" s="71" t="str">
        <f>IF($F$8=" ","",VLOOKUP(G21,Notas!B:K,8,FALSE)/1000)</f>
        <v/>
      </c>
      <c r="L21" s="72" t="str">
        <f>IFERROR(IF(VLOOKUP(G21,Notas!B:K,9,FALSE)=".000","",VLOOKUP(G21,Notas!B:K,9,FALSE)/1000),"")</f>
        <v/>
      </c>
      <c r="M21" s="44"/>
    </row>
    <row r="22" spans="2:13" ht="13.95" customHeight="1" x14ac:dyDescent="0.3">
      <c r="B22" s="42"/>
      <c r="C22" s="115"/>
      <c r="D22" s="67" t="s">
        <v>25</v>
      </c>
      <c r="E22" s="78" t="s">
        <v>170</v>
      </c>
      <c r="F22" s="68"/>
      <c r="G22" s="69" t="str">
        <f>IF($F$8=" ","",IFERROR(IF($L$9="","",IFERROR(VLOOKUP(IFERROR(VLOOKUP(D22,Notas!B:B,1,FALSE),VLOOKUP(D22,Equivalencia!A:F,5,FALSE)),Notas!B:B,1,FALSE),VLOOKUP(D22,Equivalencia!A:H,8,FALSE))),""))</f>
        <v/>
      </c>
      <c r="H22" s="78" t="str">
        <f>IFERROR(IF($L$9="","",IFERROR(IFERROR(VLOOKUP(G22,Equivalencia!A:B,2,FALSE),VLOOKUP(G22,Equivalencia!E:F,2,FALSE)),VLOOKUP(G22,Equivalencia!H:I,2,FALSE))),"")</f>
        <v/>
      </c>
      <c r="I22" s="86"/>
      <c r="J22" s="70">
        <v>4</v>
      </c>
      <c r="K22" s="71" t="str">
        <f>IF($F$8=" ","",VLOOKUP(G22,Notas!B:K,8,FALSE)/1000)</f>
        <v/>
      </c>
      <c r="L22" s="72" t="str">
        <f>IFERROR(IF(VLOOKUP(G22,Notas!B:K,9,FALSE)=".000","",VLOOKUP(G22,Notas!B:K,9,FALSE)/1000),"")</f>
        <v/>
      </c>
      <c r="M22" s="44"/>
    </row>
    <row r="23" spans="2:13" ht="13.95" customHeight="1" x14ac:dyDescent="0.3">
      <c r="B23" s="42"/>
      <c r="C23" s="115"/>
      <c r="D23" s="67" t="s">
        <v>26</v>
      </c>
      <c r="E23" s="78" t="s">
        <v>171</v>
      </c>
      <c r="F23" s="68"/>
      <c r="G23" s="69" t="str">
        <f>IF($F$8=" ","",IFERROR(IF($L$9="","",IFERROR(VLOOKUP(IFERROR(VLOOKUP(D23,Notas!B:B,1,FALSE),VLOOKUP(D23,Equivalencia!A:F,5,FALSE)),Notas!B:B,1,FALSE),VLOOKUP(D23,Equivalencia!A:H,8,FALSE))),""))</f>
        <v/>
      </c>
      <c r="H23" s="78" t="str">
        <f>IFERROR(IF($L$9="","",IFERROR(IFERROR(VLOOKUP(G23,Equivalencia!A:B,2,FALSE),VLOOKUP(G23,Equivalencia!E:F,2,FALSE)),VLOOKUP(G23,Equivalencia!H:I,2,FALSE))),"")</f>
        <v/>
      </c>
      <c r="I23" s="86"/>
      <c r="J23" s="70">
        <v>4</v>
      </c>
      <c r="K23" s="71" t="str">
        <f>IF($F$8=" ","",VLOOKUP(G23,Notas!B:K,8,FALSE)/1000)</f>
        <v/>
      </c>
      <c r="L23" s="72" t="str">
        <f>IFERROR(IF(VLOOKUP(G23,Notas!B:K,9,FALSE)=".000","",VLOOKUP(G23,Notas!B:K,9,FALSE)/1000),"")</f>
        <v/>
      </c>
      <c r="M23" s="44"/>
    </row>
    <row r="24" spans="2:13" ht="13.95" customHeight="1" x14ac:dyDescent="0.3">
      <c r="B24" s="42"/>
      <c r="C24" s="115"/>
      <c r="D24" s="67" t="s">
        <v>121</v>
      </c>
      <c r="E24" s="78" t="s">
        <v>172</v>
      </c>
      <c r="F24" s="68"/>
      <c r="G24" s="69" t="str">
        <f>IF($F$8=" ","",IFERROR(IF($L$9="","",IFERROR(VLOOKUP(IFERROR(VLOOKUP(D24,Notas!B:B,1,FALSE),VLOOKUP(D24,Equivalencia!A:F,5,FALSE)),Notas!B:B,1,FALSE),VLOOKUP(D24,Equivalencia!A:H,8,FALSE))),""))</f>
        <v/>
      </c>
      <c r="H24" s="78" t="str">
        <f>IFERROR(IF($L$9="","",IFERROR(IFERROR(VLOOKUP(G24,Equivalencia!A:B,2,FALSE),VLOOKUP(G24,Equivalencia!E:F,2,FALSE)),VLOOKUP(G24,Equivalencia!H:I,2,FALSE))),"")</f>
        <v/>
      </c>
      <c r="I24" s="86"/>
      <c r="J24" s="70">
        <v>4</v>
      </c>
      <c r="K24" s="71" t="str">
        <f>IF($F$8=" ","",VLOOKUP(G24,Notas!B:K,8,FALSE)/1000)</f>
        <v/>
      </c>
      <c r="L24" s="72" t="str">
        <f>IFERROR(IF(VLOOKUP(G24,Notas!B:K,9,FALSE)=".000","",VLOOKUP(G24,Notas!B:K,9,FALSE)/1000),"")</f>
        <v/>
      </c>
      <c r="M24" s="44"/>
    </row>
    <row r="25" spans="2:13" ht="13.95" customHeight="1" x14ac:dyDescent="0.3">
      <c r="B25" s="42"/>
      <c r="C25" s="115"/>
      <c r="D25" s="67" t="s">
        <v>24</v>
      </c>
      <c r="E25" s="78" t="s">
        <v>56</v>
      </c>
      <c r="F25" s="68"/>
      <c r="G25" s="69" t="str">
        <f>IF($F$8=" ","",IFERROR(IF($L$9="","",IFERROR(VLOOKUP(IFERROR(VLOOKUP(D25,Notas!B:B,1,FALSE),VLOOKUP(D25,Equivalencia!A:F,5,FALSE)),Notas!B:B,1,FALSE),VLOOKUP(D25,Equivalencia!A:H,8,FALSE))),""))</f>
        <v/>
      </c>
      <c r="H25" s="78" t="str">
        <f>IFERROR(IF($L$9="","",IFERROR(IFERROR(VLOOKUP(G25,Equivalencia!A:B,2,FALSE),VLOOKUP(G25,Equivalencia!E:F,2,FALSE)),VLOOKUP(G25,Equivalencia!H:I,2,FALSE))),"")</f>
        <v/>
      </c>
      <c r="I25" s="86"/>
      <c r="J25" s="70">
        <v>2</v>
      </c>
      <c r="K25" s="71" t="str">
        <f>IF($F$8=" ","",VLOOKUP(G25,Notas!B:K,8,FALSE)/1000)</f>
        <v/>
      </c>
      <c r="L25" s="72" t="str">
        <f>IFERROR(IF(VLOOKUP(G25,Notas!B:K,9,FALSE)=".000","",VLOOKUP(G25,Notas!B:K,9,FALSE)/1000),"")</f>
        <v/>
      </c>
      <c r="M25" s="44"/>
    </row>
    <row r="26" spans="2:13" ht="13.95" customHeight="1" x14ac:dyDescent="0.3">
      <c r="B26" s="42"/>
      <c r="C26" s="115"/>
      <c r="D26" s="67" t="s">
        <v>29</v>
      </c>
      <c r="E26" s="78" t="s">
        <v>30</v>
      </c>
      <c r="F26" s="68"/>
      <c r="G26" s="69" t="str">
        <f>IF($F$8=" ","",IFERROR(IF($L$9="","",IFERROR(VLOOKUP(IFERROR(VLOOKUP(D26,Notas!B:B,1,FALSE),VLOOKUP(D26,Equivalencia!A:F,5,FALSE)),Notas!B:B,1,FALSE),VLOOKUP(D26,Equivalencia!A:H,8,FALSE))),""))</f>
        <v/>
      </c>
      <c r="H26" s="78" t="str">
        <f>IFERROR(IF($L$9="","",IFERROR(IFERROR(VLOOKUP(G26,Equivalencia!A:B,2,FALSE),VLOOKUP(G26,Equivalencia!E:F,2,FALSE)),VLOOKUP(G26,Equivalencia!H:I,2,FALSE))),"")</f>
        <v/>
      </c>
      <c r="I26" s="86"/>
      <c r="J26" s="70">
        <v>2</v>
      </c>
      <c r="K26" s="71" t="str">
        <f>IF($F$8=" ","",VLOOKUP(G26,Notas!B:K,8,FALSE)/1000)</f>
        <v/>
      </c>
      <c r="L26" s="72" t="str">
        <f>IFERROR(IF(VLOOKUP(G26,Notas!B:K,9,FALSE)=".000","",VLOOKUP(G26,Notas!B:K,9,FALSE)/1000),"")</f>
        <v/>
      </c>
      <c r="M26" s="44"/>
    </row>
    <row r="27" spans="2:13" ht="13.95" customHeight="1" x14ac:dyDescent="0.3">
      <c r="B27" s="42"/>
      <c r="C27" s="115"/>
      <c r="D27" s="67" t="s">
        <v>27</v>
      </c>
      <c r="E27" s="78" t="s">
        <v>68</v>
      </c>
      <c r="F27" s="68"/>
      <c r="G27" s="69" t="str">
        <f>IF($F$8=" ","",IFERROR(IF($L$9="","",IFERROR(VLOOKUP(IFERROR(VLOOKUP(D27,Notas!B:B,1,FALSE),VLOOKUP(D27,Equivalencia!A:F,5,FALSE)),Notas!B:B,1,FALSE),VLOOKUP(D27,Equivalencia!A:H,8,FALSE))),""))</f>
        <v/>
      </c>
      <c r="H27" s="78" t="str">
        <f>IFERROR(IF($L$9="","",IFERROR(IFERROR(VLOOKUP(G27,Equivalencia!A:B,2,FALSE),VLOOKUP(G27,Equivalencia!E:F,2,FALSE)),VLOOKUP(G27,Equivalencia!H:I,2,FALSE))),"")</f>
        <v/>
      </c>
      <c r="I27" s="86"/>
      <c r="J27" s="70">
        <v>3</v>
      </c>
      <c r="K27" s="71" t="str">
        <f>IF($F$8=" ","",VLOOKUP(G27,Notas!B:K,8,FALSE)/1000)</f>
        <v/>
      </c>
      <c r="L27" s="72" t="str">
        <f>IFERROR(IF(VLOOKUP(G27,Notas!B:K,9,FALSE)=".000","",VLOOKUP(G27,Notas!B:K,9,FALSE)/1000),"")</f>
        <v/>
      </c>
      <c r="M27" s="44"/>
    </row>
    <row r="28" spans="2:13" ht="13.95" customHeight="1" x14ac:dyDescent="0.3">
      <c r="B28" s="42"/>
      <c r="C28" s="116"/>
      <c r="D28" s="93" t="s">
        <v>28</v>
      </c>
      <c r="E28" s="94" t="s">
        <v>64</v>
      </c>
      <c r="F28" s="95"/>
      <c r="G28" s="96" t="str">
        <f>IF($F$8=" ","",IFERROR(IF($L$9="","",IFERROR(VLOOKUP(IFERROR(VLOOKUP(D28,Notas!B:B,1,FALSE),VLOOKUP(D28,Equivalencia!A:F,5,FALSE)),Notas!B:B,1,FALSE),VLOOKUP(D28,Equivalencia!A:H,8,FALSE))),""))</f>
        <v/>
      </c>
      <c r="H28" s="94" t="str">
        <f>IFERROR(IF($L$9="","",IFERROR(IFERROR(VLOOKUP(G28,Equivalencia!A:B,2,FALSE),VLOOKUP(G28,Equivalencia!E:F,2,FALSE)),VLOOKUP(G28,Equivalencia!H:I,2,FALSE))),"")</f>
        <v/>
      </c>
      <c r="I28" s="97"/>
      <c r="J28" s="98">
        <v>3</v>
      </c>
      <c r="K28" s="99" t="str">
        <f>IF($F$8=" ","",VLOOKUP(G28,Notas!B:K,8,FALSE)/1000)</f>
        <v/>
      </c>
      <c r="L28" s="100" t="str">
        <f>IFERROR(IF(VLOOKUP(G28,Notas!B:K,9,FALSE)=".000","",VLOOKUP(G28,Notas!B:K,9,FALSE)/1000),"")</f>
        <v/>
      </c>
      <c r="M28" s="44"/>
    </row>
    <row r="29" spans="2:13" ht="13.95" customHeight="1" x14ac:dyDescent="0.3">
      <c r="B29" s="42"/>
      <c r="C29" s="114" t="s">
        <v>265</v>
      </c>
      <c r="D29" s="101" t="s">
        <v>70</v>
      </c>
      <c r="E29" s="102" t="s">
        <v>71</v>
      </c>
      <c r="F29" s="103"/>
      <c r="G29" s="104" t="str">
        <f>IF($F$8=" ","",IFERROR(IF($L$9="","",IFERROR(VLOOKUP(IFERROR(VLOOKUP(D29,Notas!B:B,1,FALSE),VLOOKUP(D29,Equivalencia!A:F,5,FALSE)),Notas!B:B,1,FALSE),VLOOKUP(D29,Equivalencia!A:H,8,FALSE))),""))</f>
        <v/>
      </c>
      <c r="H29" s="102" t="str">
        <f>IFERROR(IF($L$9="","",IFERROR(IFERROR(VLOOKUP(G29,Equivalencia!A:B,2,FALSE),VLOOKUP(G29,Equivalencia!E:F,2,FALSE)),VLOOKUP(G29,Equivalencia!H:I,2,FALSE))),"")</f>
        <v/>
      </c>
      <c r="I29" s="105"/>
      <c r="J29" s="106">
        <v>2</v>
      </c>
      <c r="K29" s="107" t="str">
        <f>IF($F$8=" ","",VLOOKUP(G29,Notas!B:K,8,FALSE)/1000)</f>
        <v/>
      </c>
      <c r="L29" s="108" t="str">
        <f>IFERROR(IF(VLOOKUP(G29,Notas!B:K,9,FALSE)=".000","",VLOOKUP(G29,Notas!B:K,9,FALSE)/1000),"")</f>
        <v/>
      </c>
      <c r="M29" s="44"/>
    </row>
    <row r="30" spans="2:13" ht="13.95" customHeight="1" x14ac:dyDescent="0.3">
      <c r="B30" s="42"/>
      <c r="C30" s="115"/>
      <c r="D30" s="67" t="s">
        <v>233</v>
      </c>
      <c r="E30" s="78" t="s">
        <v>199</v>
      </c>
      <c r="F30" s="68"/>
      <c r="G30" s="69" t="str">
        <f>IF($F$8=" ","",IFERROR(IF($L$9="","",IFERROR(VLOOKUP(IFERROR(VLOOKUP(D30,Notas!B:B,1,FALSE),VLOOKUP(D30,Equivalencia!A:F,5,FALSE)),Notas!B:B,1,FALSE),VLOOKUP(D30,Equivalencia!A:H,8,FALSE))),""))</f>
        <v/>
      </c>
      <c r="H30" s="78" t="str">
        <f>IFERROR(IF($L$9="","",IFERROR(IFERROR(VLOOKUP(G30,Equivalencia!A:B,2,FALSE),VLOOKUP(G30,Equivalencia!E:F,2,FALSE)),VLOOKUP(G30,Equivalencia!H:I,2,FALSE))),"")</f>
        <v/>
      </c>
      <c r="I30" s="86"/>
      <c r="J30" s="70">
        <v>2</v>
      </c>
      <c r="K30" s="71" t="str">
        <f>IF($F$8=" ","",VLOOKUP(G30,Notas!B:K,8,FALSE)/1000)</f>
        <v/>
      </c>
      <c r="L30" s="72" t="str">
        <f>IFERROR(IF(VLOOKUP(G30,Notas!B:K,9,FALSE)=".000","",VLOOKUP(G30,Notas!B:K,9,FALSE)/1000),"")</f>
        <v/>
      </c>
      <c r="M30" s="44"/>
    </row>
    <row r="31" spans="2:13" ht="13.95" customHeight="1" x14ac:dyDescent="0.3">
      <c r="B31" s="42"/>
      <c r="C31" s="115"/>
      <c r="D31" s="67" t="s">
        <v>234</v>
      </c>
      <c r="E31" s="78" t="s">
        <v>200</v>
      </c>
      <c r="F31" s="68"/>
      <c r="G31" s="69" t="str">
        <f>IF($F$8=" ","",IFERROR(IF($L$9="","",IFERROR(VLOOKUP(IFERROR(VLOOKUP(D31,Notas!B:B,1,FALSE),VLOOKUP(D31,Equivalencia!A:F,5,FALSE)),Notas!B:B,1,FALSE),VLOOKUP(D31,Equivalencia!A:H,8,FALSE))),""))</f>
        <v/>
      </c>
      <c r="H31" s="78" t="str">
        <f>IFERROR(IF($L$9="","",IFERROR(IFERROR(VLOOKUP(G31,Equivalencia!A:B,2,FALSE),VLOOKUP(G31,Equivalencia!E:F,2,FALSE)),VLOOKUP(G31,Equivalencia!H:I,2,FALSE))),"")</f>
        <v/>
      </c>
      <c r="I31" s="86"/>
      <c r="J31" s="70">
        <v>2</v>
      </c>
      <c r="K31" s="71" t="str">
        <f>IF($F$8=" ","",VLOOKUP(G31,Notas!B:K,8,FALSE)/1000)</f>
        <v/>
      </c>
      <c r="L31" s="72" t="str">
        <f>IFERROR(IF(VLOOKUP(G31,Notas!B:K,9,FALSE)=".000","",VLOOKUP(G31,Notas!B:K,9,FALSE)/1000),"")</f>
        <v/>
      </c>
      <c r="M31" s="44"/>
    </row>
    <row r="32" spans="2:13" ht="13.95" customHeight="1" x14ac:dyDescent="0.3">
      <c r="B32" s="42"/>
      <c r="C32" s="115"/>
      <c r="D32" s="67" t="s">
        <v>235</v>
      </c>
      <c r="E32" s="78" t="s">
        <v>201</v>
      </c>
      <c r="F32" s="68"/>
      <c r="G32" s="69" t="str">
        <f>IF($F$8=" ","",IFERROR(IF($L$9="","",IFERROR(VLOOKUP(IFERROR(VLOOKUP(D32,Notas!B:B,1,FALSE),VLOOKUP(D32,Equivalencia!A:F,5,FALSE)),Notas!B:B,1,FALSE),VLOOKUP(D32,Equivalencia!A:H,8,FALSE))),""))</f>
        <v/>
      </c>
      <c r="H32" s="78" t="str">
        <f>IFERROR(IF($L$9="","",IFERROR(IFERROR(VLOOKUP(G32,Equivalencia!A:B,2,FALSE),VLOOKUP(G32,Equivalencia!E:F,2,FALSE)),VLOOKUP(G32,Equivalencia!H:I,2,FALSE))),"")</f>
        <v/>
      </c>
      <c r="I32" s="86"/>
      <c r="J32" s="70">
        <v>2</v>
      </c>
      <c r="K32" s="71" t="str">
        <f>IF($F$8=" ","",VLOOKUP(G32,Notas!B:K,8,FALSE)/1000)</f>
        <v/>
      </c>
      <c r="L32" s="72" t="str">
        <f>IFERROR(IF(VLOOKUP(G32,Notas!B:K,9,FALSE)=".000","",VLOOKUP(G32,Notas!B:K,9,FALSE)/1000),"")</f>
        <v/>
      </c>
      <c r="M32" s="44"/>
    </row>
    <row r="33" spans="2:13" ht="13.95" customHeight="1" x14ac:dyDescent="0.3">
      <c r="B33" s="42"/>
      <c r="C33" s="115"/>
      <c r="D33" s="67" t="s">
        <v>236</v>
      </c>
      <c r="E33" s="78" t="s">
        <v>202</v>
      </c>
      <c r="F33" s="68"/>
      <c r="G33" s="69" t="str">
        <f>IF($F$8=" ","",IFERROR(IF($L$9="","",IFERROR(VLOOKUP(IFERROR(VLOOKUP(D33,Notas!B:B,1,FALSE),VLOOKUP(D33,Equivalencia!A:F,5,FALSE)),Notas!B:B,1,FALSE),VLOOKUP(D33,Equivalencia!A:H,8,FALSE))),""))</f>
        <v/>
      </c>
      <c r="H33" s="78" t="str">
        <f>IFERROR(IF($L$9="","",IFERROR(IFERROR(VLOOKUP(G33,Equivalencia!A:B,2,FALSE),VLOOKUP(G33,Equivalencia!E:F,2,FALSE)),VLOOKUP(G33,Equivalencia!H:I,2,FALSE))),"")</f>
        <v/>
      </c>
      <c r="I33" s="86"/>
      <c r="J33" s="70">
        <v>3</v>
      </c>
      <c r="K33" s="71" t="str">
        <f>IF($F$8=" ","",VLOOKUP(G33,Notas!B:K,8,FALSE)/1000)</f>
        <v/>
      </c>
      <c r="L33" s="72" t="str">
        <f>IFERROR(IF(VLOOKUP(G33,Notas!B:K,9,FALSE)=".000","",VLOOKUP(G33,Notas!B:K,9,FALSE)/1000),"")</f>
        <v/>
      </c>
      <c r="M33" s="44"/>
    </row>
    <row r="34" spans="2:13" ht="13.95" customHeight="1" x14ac:dyDescent="0.3">
      <c r="B34" s="42"/>
      <c r="C34" s="116"/>
      <c r="D34" s="93" t="s">
        <v>73</v>
      </c>
      <c r="E34" s="94" t="s">
        <v>74</v>
      </c>
      <c r="F34" s="95"/>
      <c r="G34" s="96" t="str">
        <f>IF($F$8=" ","",IFERROR(IF($L$9="","",IFERROR(VLOOKUP(IFERROR(VLOOKUP(D34,Notas!B:B,1,FALSE),VLOOKUP(D34,Equivalencia!A:F,5,FALSE)),Notas!B:B,1,FALSE),VLOOKUP(D34,Equivalencia!A:H,8,FALSE))),""))</f>
        <v/>
      </c>
      <c r="H34" s="94" t="str">
        <f>IFERROR(IF($L$9="","",IFERROR(IFERROR(VLOOKUP(G34,Equivalencia!A:B,2,FALSE),VLOOKUP(G34,Equivalencia!E:F,2,FALSE)),VLOOKUP(G34,Equivalencia!H:I,2,FALSE))),"")</f>
        <v/>
      </c>
      <c r="I34" s="97"/>
      <c r="J34" s="98">
        <v>2</v>
      </c>
      <c r="K34" s="99" t="str">
        <f>IF($F$8=" ","",VLOOKUP(G34,Notas!B:K,8,FALSE)/1000)</f>
        <v/>
      </c>
      <c r="L34" s="100" t="str">
        <f>IFERROR(IF(VLOOKUP(G34,Notas!B:K,9,FALSE)=".000","",VLOOKUP(G34,Notas!B:K,9,FALSE)/1000),"")</f>
        <v/>
      </c>
      <c r="M34" s="44"/>
    </row>
    <row r="35" spans="2:13" ht="13.95" customHeight="1" x14ac:dyDescent="0.3">
      <c r="B35" s="42"/>
      <c r="C35" s="114" t="s">
        <v>266</v>
      </c>
      <c r="D35" s="101" t="s">
        <v>237</v>
      </c>
      <c r="E35" s="102" t="s">
        <v>203</v>
      </c>
      <c r="F35" s="103"/>
      <c r="G35" s="104" t="str">
        <f>IF($F$8=" ","",IFERROR(IF($L$9="","",IFERROR(VLOOKUP(IFERROR(VLOOKUP(D35,Notas!B:B,1,FALSE),VLOOKUP(D35,Equivalencia!A:F,5,FALSE)),Notas!B:B,1,FALSE),VLOOKUP(D35,Equivalencia!A:H,8,FALSE))),""))</f>
        <v/>
      </c>
      <c r="H35" s="102" t="str">
        <f>IFERROR(IF($L$9="","",IFERROR(IFERROR(VLOOKUP(G35,Equivalencia!A:B,2,FALSE),VLOOKUP(G35,Equivalencia!E:F,2,FALSE)),VLOOKUP(G35,Equivalencia!H:I,2,FALSE))),"")</f>
        <v/>
      </c>
      <c r="I35" s="105"/>
      <c r="J35" s="106">
        <v>2</v>
      </c>
      <c r="K35" s="107" t="str">
        <f>IF($F$8=" ","",VLOOKUP(G35,Notas!B:K,8,FALSE)/1000)</f>
        <v/>
      </c>
      <c r="L35" s="108" t="str">
        <f>IFERROR(IF(VLOOKUP(G35,Notas!B:K,9,FALSE)=".000","",VLOOKUP(G35,Notas!B:K,9,FALSE)/1000),"")</f>
        <v/>
      </c>
      <c r="M35" s="44"/>
    </row>
    <row r="36" spans="2:13" ht="13.95" customHeight="1" x14ac:dyDescent="0.3">
      <c r="B36" s="42"/>
      <c r="C36" s="115"/>
      <c r="D36" s="67" t="s">
        <v>238</v>
      </c>
      <c r="E36" s="78" t="s">
        <v>204</v>
      </c>
      <c r="F36" s="68"/>
      <c r="G36" s="69" t="str">
        <f>IF($F$8=" ","",IFERROR(IF($L$9="","",IFERROR(VLOOKUP(IFERROR(VLOOKUP(D36,Notas!B:B,1,FALSE),VLOOKUP(D36,Equivalencia!A:F,5,FALSE)),Notas!B:B,1,FALSE),VLOOKUP(D36,Equivalencia!A:H,8,FALSE))),""))</f>
        <v/>
      </c>
      <c r="H36" s="78" t="str">
        <f>IFERROR(IF($L$9="","",IFERROR(IFERROR(VLOOKUP(G36,Equivalencia!A:B,2,FALSE),VLOOKUP(G36,Equivalencia!E:F,2,FALSE)),VLOOKUP(G36,Equivalencia!H:I,2,FALSE))),"")</f>
        <v/>
      </c>
      <c r="I36" s="86"/>
      <c r="J36" s="70">
        <v>1</v>
      </c>
      <c r="K36" s="71" t="str">
        <f>IF($F$8=" ","",VLOOKUP(G36,Notas!B:K,8,FALSE)/1000)</f>
        <v/>
      </c>
      <c r="L36" s="72" t="str">
        <f>IFERROR(IF(VLOOKUP(G36,Notas!B:K,9,FALSE)=".000","",VLOOKUP(G36,Notas!B:K,9,FALSE)/1000),"")</f>
        <v/>
      </c>
      <c r="M36" s="44"/>
    </row>
    <row r="37" spans="2:13" ht="13.95" customHeight="1" x14ac:dyDescent="0.3">
      <c r="B37" s="42"/>
      <c r="C37" s="115"/>
      <c r="D37" s="67" t="s">
        <v>239</v>
      </c>
      <c r="E37" s="78" t="s">
        <v>205</v>
      </c>
      <c r="F37" s="68"/>
      <c r="G37" s="69" t="str">
        <f>IF($F$8=" ","",IFERROR(IF($L$9="","",IFERROR(VLOOKUP(IFERROR(VLOOKUP(D37,Notas!B:B,1,FALSE),VLOOKUP(D37,Equivalencia!A:F,5,FALSE)),Notas!B:B,1,FALSE),VLOOKUP(D37,Equivalencia!A:H,8,FALSE))),""))</f>
        <v/>
      </c>
      <c r="H37" s="78" t="str">
        <f>IFERROR(IF($L$9="","",IFERROR(IFERROR(VLOOKUP(G37,Equivalencia!A:B,2,FALSE),VLOOKUP(G37,Equivalencia!E:F,2,FALSE)),VLOOKUP(G37,Equivalencia!H:I,2,FALSE))),"")</f>
        <v/>
      </c>
      <c r="I37" s="86"/>
      <c r="J37" s="70">
        <v>2</v>
      </c>
      <c r="K37" s="71" t="str">
        <f>IF($F$8=" ","",VLOOKUP(G37,Notas!B:K,8,FALSE)/1000)</f>
        <v/>
      </c>
      <c r="L37" s="72" t="str">
        <f>IFERROR(IF(VLOOKUP(G37,Notas!B:K,9,FALSE)=".000","",VLOOKUP(G37,Notas!B:K,9,FALSE)/1000),"")</f>
        <v/>
      </c>
      <c r="M37" s="44"/>
    </row>
    <row r="38" spans="2:13" ht="13.95" customHeight="1" x14ac:dyDescent="0.3">
      <c r="B38" s="42"/>
      <c r="C38" s="115"/>
      <c r="D38" s="67" t="s">
        <v>240</v>
      </c>
      <c r="E38" s="78" t="s">
        <v>206</v>
      </c>
      <c r="F38" s="68"/>
      <c r="G38" s="69" t="str">
        <f>IF($F$8=" ","",IFERROR(IF($L$9="","",IFERROR(VLOOKUP(IFERROR(VLOOKUP(D38,Notas!B:B,1,FALSE),VLOOKUP(D38,Equivalencia!A:F,5,FALSE)),Notas!B:B,1,FALSE),VLOOKUP(D38,Equivalencia!A:H,8,FALSE))),""))</f>
        <v/>
      </c>
      <c r="H38" s="78" t="str">
        <f>IFERROR(IF($L$9="","",IFERROR(IFERROR(VLOOKUP(G38,Equivalencia!A:B,2,FALSE),VLOOKUP(G38,Equivalencia!E:F,2,FALSE)),VLOOKUP(G38,Equivalencia!H:I,2,FALSE))),"")</f>
        <v/>
      </c>
      <c r="I38" s="86"/>
      <c r="J38" s="70">
        <v>2</v>
      </c>
      <c r="K38" s="71" t="str">
        <f>IF($F$8=" ","",VLOOKUP(G38,Notas!B:K,8,FALSE)/1000)</f>
        <v/>
      </c>
      <c r="L38" s="72" t="str">
        <f>IFERROR(IF(VLOOKUP(G38,Notas!B:K,9,FALSE)=".000","",VLOOKUP(G38,Notas!B:K,9,FALSE)/1000),"")</f>
        <v/>
      </c>
      <c r="M38" s="44"/>
    </row>
    <row r="39" spans="2:13" ht="13.95" customHeight="1" x14ac:dyDescent="0.3">
      <c r="B39" s="42"/>
      <c r="C39" s="115"/>
      <c r="D39" s="67" t="s">
        <v>75</v>
      </c>
      <c r="E39" s="78" t="s">
        <v>76</v>
      </c>
      <c r="F39" s="68"/>
      <c r="G39" s="69" t="str">
        <f>IF($F$8=" ","",IFERROR(IF($L$9="","",IFERROR(VLOOKUP(IFERROR(VLOOKUP(D39,Notas!B:B,1,FALSE),VLOOKUP(D39,Equivalencia!A:F,5,FALSE)),Notas!B:B,1,FALSE),VLOOKUP(D39,Equivalencia!A:H,8,FALSE))),""))</f>
        <v/>
      </c>
      <c r="H39" s="78" t="str">
        <f>IFERROR(IF($L$9="","",IFERROR(IFERROR(VLOOKUP(G39,Equivalencia!A:B,2,FALSE),VLOOKUP(G39,Equivalencia!E:F,2,FALSE)),VLOOKUP(G39,Equivalencia!H:I,2,FALSE))),"")</f>
        <v/>
      </c>
      <c r="I39" s="86"/>
      <c r="J39" s="70">
        <v>2</v>
      </c>
      <c r="K39" s="71" t="str">
        <f>IF($F$8=" ","",VLOOKUP(G39,Notas!B:K,8,FALSE)/1000)</f>
        <v/>
      </c>
      <c r="L39" s="72" t="str">
        <f>IFERROR(IF(VLOOKUP(G39,Notas!B:K,9,FALSE)=".000","",VLOOKUP(G39,Notas!B:K,9,FALSE)/1000),"")</f>
        <v/>
      </c>
      <c r="M39" s="44"/>
    </row>
    <row r="40" spans="2:13" ht="13.95" customHeight="1" x14ac:dyDescent="0.3">
      <c r="B40" s="42"/>
      <c r="C40" s="115"/>
      <c r="D40" s="67" t="s">
        <v>241</v>
      </c>
      <c r="E40" s="78" t="s">
        <v>207</v>
      </c>
      <c r="F40" s="68"/>
      <c r="G40" s="69" t="str">
        <f>IF($F$8=" ","",IFERROR(IF($L$9="","",IFERROR(VLOOKUP(IFERROR(VLOOKUP(D40,Notas!B:B,1,FALSE),VLOOKUP(D40,Equivalencia!A:F,5,FALSE)),Notas!B:B,1,FALSE),VLOOKUP(D40,Equivalencia!A:H,8,FALSE))),""))</f>
        <v/>
      </c>
      <c r="H40" s="78" t="str">
        <f>IFERROR(IF($L$9="","",IFERROR(IFERROR(VLOOKUP(G40,Equivalencia!A:B,2,FALSE),VLOOKUP(G40,Equivalencia!E:F,2,FALSE)),VLOOKUP(G40,Equivalencia!H:I,2,FALSE))),"")</f>
        <v/>
      </c>
      <c r="I40" s="86"/>
      <c r="J40" s="70">
        <v>2</v>
      </c>
      <c r="K40" s="71" t="str">
        <f>IF($F$8=" ","",VLOOKUP(G40,Notas!B:K,8,FALSE)/1000)</f>
        <v/>
      </c>
      <c r="L40" s="72" t="str">
        <f>IFERROR(IF(VLOOKUP(G40,Notas!B:K,9,FALSE)=".000","",VLOOKUP(G40,Notas!B:K,9,FALSE)/1000),"")</f>
        <v/>
      </c>
      <c r="M40" s="44"/>
    </row>
    <row r="41" spans="2:13" ht="13.95" customHeight="1" x14ac:dyDescent="0.3">
      <c r="B41" s="42"/>
      <c r="C41" s="115"/>
      <c r="D41" s="67" t="s">
        <v>34</v>
      </c>
      <c r="E41" s="78" t="s">
        <v>97</v>
      </c>
      <c r="F41" s="68"/>
      <c r="G41" s="69" t="str">
        <f>IF($F$8=" ","",IFERROR(IF($L$9="","",IFERROR(VLOOKUP(IFERROR(VLOOKUP(D41,Notas!B:B,1,FALSE),VLOOKUP(D41,Equivalencia!A:F,5,FALSE)),Notas!B:B,1,FALSE),VLOOKUP(D41,Equivalencia!A:H,8,FALSE))),""))</f>
        <v/>
      </c>
      <c r="H41" s="78" t="str">
        <f>IFERROR(IF($L$9="","",IFERROR(IFERROR(VLOOKUP(G41,Equivalencia!A:B,2,FALSE),VLOOKUP(G41,Equivalencia!E:F,2,FALSE)),VLOOKUP(G41,Equivalencia!H:I,2,FALSE))),"")</f>
        <v/>
      </c>
      <c r="I41" s="86"/>
      <c r="J41" s="70">
        <v>1</v>
      </c>
      <c r="K41" s="71" t="str">
        <f>IF($F$8=" ","",VLOOKUP(G41,Notas!B:K,8,FALSE)/1000)</f>
        <v/>
      </c>
      <c r="L41" s="72" t="str">
        <f>IFERROR(IF(VLOOKUP(G41,Notas!B:K,9,FALSE)=".000","",VLOOKUP(G41,Notas!B:K,9,FALSE)/1000),"")</f>
        <v/>
      </c>
      <c r="M41" s="44"/>
    </row>
    <row r="42" spans="2:13" ht="13.95" customHeight="1" x14ac:dyDescent="0.3">
      <c r="B42" s="42"/>
      <c r="C42" s="115"/>
      <c r="D42" s="67" t="s">
        <v>35</v>
      </c>
      <c r="E42" s="78" t="s">
        <v>36</v>
      </c>
      <c r="F42" s="68"/>
      <c r="G42" s="69" t="str">
        <f>IF($F$8=" ","",IFERROR(IF($L$9="","",IFERROR(VLOOKUP(IFERROR(VLOOKUP(D42,Notas!B:B,1,FALSE),VLOOKUP(D42,Equivalencia!A:F,5,FALSE)),Notas!B:B,1,FALSE),VLOOKUP(D42,Equivalencia!A:H,8,FALSE))),""))</f>
        <v/>
      </c>
      <c r="H42" s="78" t="str">
        <f>IFERROR(IF($L$9="","",IFERROR(IFERROR(VLOOKUP(G42,Equivalencia!A:B,2,FALSE),VLOOKUP(G42,Equivalencia!E:F,2,FALSE)),VLOOKUP(G42,Equivalencia!H:I,2,FALSE))),"")</f>
        <v/>
      </c>
      <c r="I42" s="86"/>
      <c r="J42" s="70">
        <v>1</v>
      </c>
      <c r="K42" s="71" t="str">
        <f>IF($F$8=" ","",VLOOKUP(G42,Notas!B:K,8,FALSE)/1000)</f>
        <v/>
      </c>
      <c r="L42" s="72" t="str">
        <f>IFERROR(IF(VLOOKUP(G42,Notas!B:K,9,FALSE)=".000","",VLOOKUP(G42,Notas!B:K,9,FALSE)/1000),"")</f>
        <v/>
      </c>
      <c r="M42" s="44"/>
    </row>
    <row r="43" spans="2:13" ht="13.95" customHeight="1" x14ac:dyDescent="0.3">
      <c r="B43" s="42"/>
      <c r="C43" s="115"/>
      <c r="D43" s="67" t="s">
        <v>37</v>
      </c>
      <c r="E43" s="78" t="s">
        <v>38</v>
      </c>
      <c r="F43" s="68"/>
      <c r="G43" s="69" t="str">
        <f>IF($F$8=" ","",IFERROR(IF($L$9="","",IFERROR(VLOOKUP(IFERROR(VLOOKUP(D43,Notas!B:B,1,FALSE),VLOOKUP(D43,Equivalencia!A:F,5,FALSE)),Notas!B:B,1,FALSE),VLOOKUP(D43,Equivalencia!A:H,8,FALSE))),""))</f>
        <v/>
      </c>
      <c r="H43" s="78" t="str">
        <f>IFERROR(IF($L$9="","",IFERROR(IFERROR(VLOOKUP(G43,Equivalencia!A:B,2,FALSE),VLOOKUP(G43,Equivalencia!E:F,2,FALSE)),VLOOKUP(G43,Equivalencia!H:I,2,FALSE))),"")</f>
        <v/>
      </c>
      <c r="I43" s="86"/>
      <c r="J43" s="70">
        <v>1</v>
      </c>
      <c r="K43" s="71" t="str">
        <f>IF($F$8=" ","",VLOOKUP(G43,Notas!B:K,8,FALSE)/1000)</f>
        <v/>
      </c>
      <c r="L43" s="72" t="str">
        <f>IFERROR(IF(VLOOKUP(G43,Notas!B:K,9,FALSE)=".000","",VLOOKUP(G43,Notas!B:K,9,FALSE)/1000),"")</f>
        <v/>
      </c>
      <c r="M43" s="44"/>
    </row>
    <row r="44" spans="2:13" ht="13.95" customHeight="1" x14ac:dyDescent="0.3">
      <c r="B44" s="42"/>
      <c r="C44" s="115"/>
      <c r="D44" s="67" t="s">
        <v>242</v>
      </c>
      <c r="E44" s="78" t="s">
        <v>208</v>
      </c>
      <c r="F44" s="68"/>
      <c r="G44" s="69" t="str">
        <f>IF($F$8=" ","",IFERROR(IF($L$9="","",IFERROR(VLOOKUP(IFERROR(VLOOKUP(D44,Notas!B:B,1,FALSE),VLOOKUP(D44,Equivalencia!A:F,5,FALSE)),Notas!B:B,1,FALSE),VLOOKUP(D44,Equivalencia!A:H,8,FALSE))),""))</f>
        <v/>
      </c>
      <c r="H44" s="78" t="str">
        <f>IFERROR(IF($L$9="","",IFERROR(IFERROR(VLOOKUP(G44,Equivalencia!A:B,2,FALSE),VLOOKUP(G44,Equivalencia!E:F,2,FALSE)),VLOOKUP(G44,Equivalencia!H:I,2,FALSE))),"")</f>
        <v/>
      </c>
      <c r="I44" s="86"/>
      <c r="J44" s="70">
        <v>1</v>
      </c>
      <c r="K44" s="71" t="str">
        <f>IF($F$8=" ","",VLOOKUP(G44,Notas!B:K,8,FALSE)/1000)</f>
        <v/>
      </c>
      <c r="L44" s="72" t="str">
        <f>IFERROR(IF(VLOOKUP(G44,Notas!B:K,9,FALSE)=".000","",VLOOKUP(G44,Notas!B:K,9,FALSE)/1000),"")</f>
        <v/>
      </c>
      <c r="M44" s="44"/>
    </row>
    <row r="45" spans="2:13" ht="13.95" customHeight="1" x14ac:dyDescent="0.3">
      <c r="B45" s="42"/>
      <c r="C45" s="115"/>
      <c r="D45" s="67" t="s">
        <v>31</v>
      </c>
      <c r="E45" s="78" t="s">
        <v>32</v>
      </c>
      <c r="F45" s="68"/>
      <c r="G45" s="69" t="str">
        <f>IF($F$8=" ","",IFERROR(IF($L$9="","",IFERROR(VLOOKUP(IFERROR(VLOOKUP(D45,Notas!B:B,1,FALSE),VLOOKUP(D45,Equivalencia!A:F,5,FALSE)),Notas!B:B,1,FALSE),VLOOKUP(D45,Equivalencia!A:H,8,FALSE))),""))</f>
        <v/>
      </c>
      <c r="H45" s="78" t="str">
        <f>IFERROR(IF($L$9="","",IFERROR(IFERROR(VLOOKUP(G45,Equivalencia!A:B,2,FALSE),VLOOKUP(G45,Equivalencia!E:F,2,FALSE)),VLOOKUP(G45,Equivalencia!H:I,2,FALSE))),"")</f>
        <v/>
      </c>
      <c r="I45" s="86"/>
      <c r="J45" s="70">
        <v>1</v>
      </c>
      <c r="K45" s="71" t="str">
        <f>IF($F$8=" ","",VLOOKUP(G45,Notas!B:K,8,FALSE)/1000)</f>
        <v/>
      </c>
      <c r="L45" s="72" t="str">
        <f>IFERROR(IF(VLOOKUP(G45,Notas!B:K,9,FALSE)=".000","",VLOOKUP(G45,Notas!B:K,9,FALSE)/1000),"")</f>
        <v/>
      </c>
      <c r="M45" s="44"/>
    </row>
    <row r="46" spans="2:13" ht="13.95" customHeight="1" x14ac:dyDescent="0.3">
      <c r="B46" s="42"/>
      <c r="C46" s="116"/>
      <c r="D46" s="93" t="s">
        <v>90</v>
      </c>
      <c r="E46" s="94" t="s">
        <v>209</v>
      </c>
      <c r="F46" s="95"/>
      <c r="G46" s="96" t="str" cm="1">
        <f t="array" ref="G46">IFERROR(
   INDEX(Notas!B:B,
      MATCH(
         MAX(_xlfn._xlws.FILTER(Notas!K:K,
            (ISNUMBER(SEARCH("Ingles", Notas!C:C)) + ISNUMBER(SEARCH("Idiomas", Notas!C:C))) &gt; 0
         )),
         Notas!K:K,
         0
      )
   ),
   ""
)</f>
        <v/>
      </c>
      <c r="H46" s="94" t="str">
        <f>IFERROR(IF($L$9="","",IFERROR(IFERROR(VLOOKUP(G46,Equivalencia!A:B,2,FALSE),VLOOKUP(G46,Equivalencia!E:F,2,FALSE)),VLOOKUP(G46,Equivalencia!H:I,2,FALSE))),"")</f>
        <v/>
      </c>
      <c r="I46" s="97"/>
      <c r="J46" s="98">
        <v>2</v>
      </c>
      <c r="K46" s="99" t="str" cm="1">
        <f t="array" ref="K46">IF($F$8=" ","",MAX(_xlfn._xlws.FILTER(Notas!K:K,(ISNUMBER(SEARCH("Ingles",Notas!C:C))+ISNUMBER(SEARCH("Idiomas",Notas!C:C)))&gt;0))/1000)</f>
        <v/>
      </c>
      <c r="L46" s="100" t="str">
        <f>IFERROR(IF(VLOOKUP(G46,Notas!B:K,9,FALSE)=".000","",VLOOKUP(G46,Notas!B:K,9,FALSE)/1000),"")</f>
        <v/>
      </c>
      <c r="M46" s="44"/>
    </row>
    <row r="47" spans="2:13" ht="13.95" customHeight="1" x14ac:dyDescent="0.3">
      <c r="B47" s="42"/>
      <c r="C47" s="114" t="s">
        <v>146</v>
      </c>
      <c r="D47" s="101" t="s">
        <v>115</v>
      </c>
      <c r="E47" s="102" t="s">
        <v>116</v>
      </c>
      <c r="F47" s="103"/>
      <c r="G47" s="104" t="str">
        <f>IF($F$8=" ","",IFERROR(IF($L$9="","",IFERROR(VLOOKUP(IFERROR(VLOOKUP(D47,Notas!B:B,1,FALSE),VLOOKUP(D47,Equivalencia!A:F,5,FALSE)),Notas!B:B,1,FALSE),VLOOKUP(D47,Equivalencia!A:H,8,FALSE))),""))</f>
        <v/>
      </c>
      <c r="H47" s="102" t="str">
        <f>IFERROR(IF($L$9="","",IFERROR(IFERROR(VLOOKUP(G47,Equivalencia!A:B,2,FALSE),VLOOKUP(G47,Equivalencia!E:F,2,FALSE)),VLOOKUP(G47,Equivalencia!H:I,2,FALSE))),"")</f>
        <v/>
      </c>
      <c r="I47" s="105"/>
      <c r="J47" s="106">
        <v>1</v>
      </c>
      <c r="K47" s="107" t="str">
        <f>IF($F$8=" ","",VLOOKUP(G47,Notas!B:K,8,FALSE)/1000)</f>
        <v/>
      </c>
      <c r="L47" s="108" t="str">
        <f>IFERROR(IF(VLOOKUP(G47,Notas!B:K,9,FALSE)=".000","",VLOOKUP(G47,Notas!B:K,9,FALSE)/1000),"")</f>
        <v/>
      </c>
      <c r="M47" s="44"/>
    </row>
    <row r="48" spans="2:13" ht="13.95" customHeight="1" x14ac:dyDescent="0.3">
      <c r="B48" s="42"/>
      <c r="C48" s="116"/>
      <c r="D48" s="93" t="s">
        <v>243</v>
      </c>
      <c r="E48" s="94" t="s">
        <v>210</v>
      </c>
      <c r="F48" s="95"/>
      <c r="G48" s="96" t="str">
        <f>IF($F$8=" ","",IFERROR(IF($L$9="","",IFERROR(VLOOKUP(IFERROR(VLOOKUP(D48,Notas!B:B,1,FALSE),VLOOKUP(D48,Equivalencia!A:F,5,FALSE)),Notas!B:B,1,FALSE),VLOOKUP(D48,Equivalencia!A:H,8,FALSE))),""))</f>
        <v/>
      </c>
      <c r="H48" s="94" t="str">
        <f>IFERROR(IF($L$9="","",IFERROR(IFERROR(VLOOKUP(G48,Equivalencia!A:B,2,FALSE),VLOOKUP(G48,Equivalencia!E:F,2,FALSE)),VLOOKUP(G48,Equivalencia!H:I,2,FALSE))),"")</f>
        <v/>
      </c>
      <c r="I48" s="97"/>
      <c r="J48" s="98">
        <v>1</v>
      </c>
      <c r="K48" s="99" t="str">
        <f>IF($F$8=" ","",VLOOKUP(G48,Notas!B:K,8,FALSE)/1000)</f>
        <v/>
      </c>
      <c r="L48" s="100" t="str">
        <f>IFERROR(IF(VLOOKUP(G48,Notas!B:K,9,FALSE)=".000","",VLOOKUP(G48,Notas!B:K,9,FALSE)/1000),"")</f>
        <v/>
      </c>
      <c r="M48" s="44"/>
    </row>
    <row r="49" spans="2:13" ht="13.95" customHeight="1" x14ac:dyDescent="0.3">
      <c r="B49" s="42"/>
      <c r="C49" s="114" t="s">
        <v>147</v>
      </c>
      <c r="D49" s="101" t="s">
        <v>112</v>
      </c>
      <c r="E49" s="102" t="s">
        <v>113</v>
      </c>
      <c r="F49" s="103"/>
      <c r="G49" s="104" t="str">
        <f>IF($F$8=" ","",IFERROR(IF($L$9="","",IFERROR(VLOOKUP(IFERROR(VLOOKUP(D49,Notas!B:B,1,FALSE),VLOOKUP(D49,Equivalencia!A:F,5,FALSE)),Notas!B:B,1,FALSE),VLOOKUP(D49,Equivalencia!A:H,8,FALSE))),""))</f>
        <v/>
      </c>
      <c r="H49" s="102" t="str">
        <f>IFERROR(IF($L$9="","",IFERROR(IFERROR(VLOOKUP(G49,Equivalencia!A:B,2,FALSE),VLOOKUP(G49,Equivalencia!E:F,2,FALSE)),VLOOKUP(G49,Equivalencia!H:I,2,FALSE))),"")</f>
        <v/>
      </c>
      <c r="I49" s="105"/>
      <c r="J49" s="106">
        <v>1</v>
      </c>
      <c r="K49" s="107" t="str">
        <f>IF($F$8=" ","",VLOOKUP(G49,Notas!B:K,8,FALSE)/1000)</f>
        <v/>
      </c>
      <c r="L49" s="108" t="str">
        <f>IFERROR(IF(VLOOKUP(G49,Notas!B:K,9,FALSE)=".000","",VLOOKUP(G49,Notas!B:K,9,FALSE)/1000),"")</f>
        <v/>
      </c>
      <c r="M49" s="44"/>
    </row>
    <row r="50" spans="2:13" ht="13.95" customHeight="1" x14ac:dyDescent="0.3">
      <c r="B50" s="42"/>
      <c r="C50" s="115"/>
      <c r="D50" s="67" t="s">
        <v>244</v>
      </c>
      <c r="E50" s="78" t="s">
        <v>211</v>
      </c>
      <c r="F50" s="68"/>
      <c r="G50" s="69" t="str">
        <f>IF($F$8=" ","",IFERROR(IF($L$9="","",IFERROR(VLOOKUP(IFERROR(VLOOKUP(D50,Notas!B:B,1,FALSE),VLOOKUP(D50,Equivalencia!A:F,5,FALSE)),Notas!B:B,1,FALSE),VLOOKUP(D50,Equivalencia!A:H,8,FALSE))),""))</f>
        <v/>
      </c>
      <c r="H50" s="78" t="str">
        <f>IFERROR(IF($L$9="","",IFERROR(IFERROR(VLOOKUP(G50,Equivalencia!A:B,2,FALSE),VLOOKUP(G50,Equivalencia!E:F,2,FALSE)),VLOOKUP(G50,Equivalencia!H:I,2,FALSE))),"")</f>
        <v/>
      </c>
      <c r="I50" s="86"/>
      <c r="J50" s="70">
        <v>3</v>
      </c>
      <c r="K50" s="71" t="str">
        <f>IF($F$8=" ","",VLOOKUP(G50,Notas!B:K,8,FALSE)/1000)</f>
        <v/>
      </c>
      <c r="L50" s="72" t="str">
        <f>IFERROR(IF(VLOOKUP(G50,Notas!B:K,9,FALSE)=".000","",VLOOKUP(G50,Notas!B:K,9,FALSE)/1000),"")</f>
        <v/>
      </c>
      <c r="M50" s="44"/>
    </row>
    <row r="51" spans="2:13" ht="13.95" customHeight="1" x14ac:dyDescent="0.3">
      <c r="B51" s="42"/>
      <c r="C51" s="115"/>
      <c r="D51" s="67" t="s">
        <v>43</v>
      </c>
      <c r="E51" s="78" t="s">
        <v>212</v>
      </c>
      <c r="F51" s="68"/>
      <c r="G51" s="69" t="str">
        <f>IF($F$8=" ","",IFERROR(IF($L$9="","",IFERROR(VLOOKUP(IFERROR(VLOOKUP(D51,Notas!B:B,1,FALSE),VLOOKUP(D51,Equivalencia!A:F,5,FALSE)),Notas!B:B,1,FALSE),VLOOKUP(D51,Equivalencia!A:H,8,FALSE))),""))</f>
        <v/>
      </c>
      <c r="H51" s="78" t="str">
        <f>IFERROR(IF($L$9="","",IFERROR(IFERROR(VLOOKUP(G51,Equivalencia!A:B,2,FALSE),VLOOKUP(G51,Equivalencia!E:F,2,FALSE)),VLOOKUP(G51,Equivalencia!H:I,2,FALSE))),"")</f>
        <v/>
      </c>
      <c r="I51" s="86"/>
      <c r="J51" s="70">
        <v>2</v>
      </c>
      <c r="K51" s="71" t="str">
        <f>IF($F$8=" ","",VLOOKUP(G51,Notas!B:K,8,FALSE)/1000)</f>
        <v/>
      </c>
      <c r="L51" s="72" t="str">
        <f>IFERROR(IF(VLOOKUP(G51,Notas!B:K,9,FALSE)=".000","",VLOOKUP(G51,Notas!B:K,9,FALSE)/1000),"")</f>
        <v/>
      </c>
      <c r="M51" s="44"/>
    </row>
    <row r="52" spans="2:13" ht="13.95" customHeight="1" x14ac:dyDescent="0.3">
      <c r="B52" s="42"/>
      <c r="C52" s="115"/>
      <c r="D52" s="67" t="s">
        <v>245</v>
      </c>
      <c r="E52" s="78" t="s">
        <v>213</v>
      </c>
      <c r="F52" s="68"/>
      <c r="G52" s="69" t="str">
        <f>IF($F$8=" ","",IFERROR(IF($L$9="","",IFERROR(VLOOKUP(IFERROR(VLOOKUP(D52,Notas!B:B,1,FALSE),VLOOKUP(D52,Equivalencia!A:F,5,FALSE)),Notas!B:B,1,FALSE),VLOOKUP(D52,Equivalencia!A:H,8,FALSE))),""))</f>
        <v/>
      </c>
      <c r="H52" s="78" t="str">
        <f>IFERROR(IF($L$9="","",IFERROR(IFERROR(VLOOKUP(G52,Equivalencia!A:B,2,FALSE),VLOOKUP(G52,Equivalencia!E:F,2,FALSE)),VLOOKUP(G52,Equivalencia!H:I,2,FALSE))),"")</f>
        <v/>
      </c>
      <c r="I52" s="86"/>
      <c r="J52" s="70">
        <v>4</v>
      </c>
      <c r="K52" s="71" t="str">
        <f>IF($F$8=" ","",VLOOKUP(G52,Notas!B:K,8,FALSE)/1000)</f>
        <v/>
      </c>
      <c r="L52" s="72" t="str">
        <f>IFERROR(IF(VLOOKUP(G52,Notas!B:K,9,FALSE)=".000","",VLOOKUP(G52,Notas!B:K,9,FALSE)/1000),"")</f>
        <v/>
      </c>
      <c r="M52" s="44"/>
    </row>
    <row r="53" spans="2:13" ht="13.95" customHeight="1" x14ac:dyDescent="0.3">
      <c r="B53" s="42"/>
      <c r="C53" s="115"/>
      <c r="D53" s="67" t="s">
        <v>67</v>
      </c>
      <c r="E53" s="78" t="s">
        <v>156</v>
      </c>
      <c r="F53" s="68"/>
      <c r="G53" s="69" t="str">
        <f>IF($F$8=" ","",IFERROR(IF($L$9="","",IFERROR(VLOOKUP(IFERROR(VLOOKUP(D53,Notas!B:B,1,FALSE),VLOOKUP(D53,Equivalencia!A:F,5,FALSE)),Notas!B:B,1,FALSE),VLOOKUP(D53,Equivalencia!A:H,8,FALSE))),""))</f>
        <v/>
      </c>
      <c r="H53" s="78" t="str">
        <f>IFERROR(IF($L$9="","",IFERROR(IFERROR(VLOOKUP(G53,Equivalencia!A:B,2,FALSE),VLOOKUP(G53,Equivalencia!E:F,2,FALSE)),VLOOKUP(G53,Equivalencia!H:I,2,FALSE))),"")</f>
        <v/>
      </c>
      <c r="I53" s="86"/>
      <c r="J53" s="70">
        <v>4</v>
      </c>
      <c r="K53" s="71" t="str">
        <f>IF($F$8=" ","",VLOOKUP(G53,Notas!B:K,8,FALSE)/1000)</f>
        <v/>
      </c>
      <c r="L53" s="72" t="str">
        <f>IFERROR(IF(VLOOKUP(G53,Notas!B:K,9,FALSE)=".000","",VLOOKUP(G53,Notas!B:K,9,FALSE)/1000),"")</f>
        <v/>
      </c>
      <c r="M53" s="44"/>
    </row>
    <row r="54" spans="2:13" ht="13.95" customHeight="1" x14ac:dyDescent="0.3">
      <c r="B54" s="42"/>
      <c r="C54" s="115"/>
      <c r="D54" s="67" t="s">
        <v>102</v>
      </c>
      <c r="E54" s="78" t="s">
        <v>214</v>
      </c>
      <c r="F54" s="68"/>
      <c r="G54" s="69" t="str">
        <f>IF($F$8=" ","",IFERROR(IF($L$9="","",IFERROR(VLOOKUP(IFERROR(VLOOKUP(D54,Notas!B:B,1,FALSE),VLOOKUP(D54,Equivalencia!A:F,5,FALSE)),Notas!B:B,1,FALSE),VLOOKUP(D54,Equivalencia!A:H,8,FALSE))),""))</f>
        <v/>
      </c>
      <c r="H54" s="78" t="str">
        <f>IFERROR(IF($L$9="","",IFERROR(IFERROR(VLOOKUP(G54,Equivalencia!A:B,2,FALSE),VLOOKUP(G54,Equivalencia!E:F,2,FALSE)),VLOOKUP(G54,Equivalencia!H:I,2,FALSE))),"")</f>
        <v/>
      </c>
      <c r="I54" s="86"/>
      <c r="J54" s="70">
        <v>2</v>
      </c>
      <c r="K54" s="71" t="str">
        <f>IF($F$8=" ","",VLOOKUP(G54,Notas!B:K,8,FALSE)/1000)</f>
        <v/>
      </c>
      <c r="L54" s="72" t="str">
        <f>IFERROR(IF(VLOOKUP(G54,Notas!B:K,9,FALSE)=".000","",VLOOKUP(G54,Notas!B:K,9,FALSE)/1000),"")</f>
        <v/>
      </c>
      <c r="M54" s="44"/>
    </row>
    <row r="55" spans="2:13" ht="13.95" customHeight="1" x14ac:dyDescent="0.3">
      <c r="B55" s="42"/>
      <c r="C55" s="115"/>
      <c r="D55" s="67" t="s">
        <v>246</v>
      </c>
      <c r="E55" s="78" t="s">
        <v>268</v>
      </c>
      <c r="F55" s="68"/>
      <c r="G55" s="69" t="str">
        <f>IF($F$8=" ","",IFERROR(IF($L$9="","",IFERROR(VLOOKUP(IFERROR(VLOOKUP(D55,Notas!B:B,1,FALSE),VLOOKUP(D55,Equivalencia!A:F,5,FALSE)),Notas!B:B,1,FALSE),VLOOKUP(D55,Equivalencia!A:H,8,FALSE))),""))</f>
        <v/>
      </c>
      <c r="H55" s="78" t="str">
        <f>IFERROR(IF($L$9="","",IFERROR(IFERROR(VLOOKUP(G55,Equivalencia!A:B,2,FALSE),VLOOKUP(G55,Equivalencia!E:F,2,FALSE)),VLOOKUP(G55,Equivalencia!H:I,2,FALSE))),"")</f>
        <v/>
      </c>
      <c r="I55" s="86"/>
      <c r="J55" s="70">
        <v>4</v>
      </c>
      <c r="K55" s="71" t="str">
        <f>IF($F$8=" ","",VLOOKUP(G55,Notas!B:K,8,FALSE)/1000)</f>
        <v/>
      </c>
      <c r="L55" s="72" t="str">
        <f>IFERROR(IF(VLOOKUP(G55,Notas!B:K,9,FALSE)=".000","",VLOOKUP(G55,Notas!B:K,9,FALSE)/1000),"")</f>
        <v/>
      </c>
      <c r="M55" s="44"/>
    </row>
    <row r="56" spans="2:13" ht="13.95" customHeight="1" x14ac:dyDescent="0.3">
      <c r="B56" s="42"/>
      <c r="C56" s="115"/>
      <c r="D56" s="67" t="s">
        <v>247</v>
      </c>
      <c r="E56" s="78" t="s">
        <v>215</v>
      </c>
      <c r="F56" s="68"/>
      <c r="G56" s="69" t="str">
        <f>IF($F$8=" ","",IFERROR(IF($L$9="","",IFERROR(VLOOKUP(IFERROR(VLOOKUP(D56,Notas!B:B,1,FALSE),VLOOKUP(D56,Equivalencia!A:F,5,FALSE)),Notas!B:B,1,FALSE),VLOOKUP(D56,Equivalencia!A:H,8,FALSE))),""))</f>
        <v/>
      </c>
      <c r="H56" s="78" t="str">
        <f>IFERROR(IF($L$9="","",IFERROR(IFERROR(VLOOKUP(G56,Equivalencia!A:B,2,FALSE),VLOOKUP(G56,Equivalencia!E:F,2,FALSE)),VLOOKUP(G56,Equivalencia!H:I,2,FALSE))),"")</f>
        <v/>
      </c>
      <c r="I56" s="86"/>
      <c r="J56" s="70">
        <v>4</v>
      </c>
      <c r="K56" s="71" t="str">
        <f>IF($F$8=" ","",VLOOKUP(G56,Notas!B:K,8,FALSE)/1000)</f>
        <v/>
      </c>
      <c r="L56" s="72" t="str">
        <f>IFERROR(IF(VLOOKUP(G56,Notas!B:K,9,FALSE)=".000","",VLOOKUP(G56,Notas!B:K,9,FALSE)/1000),"")</f>
        <v/>
      </c>
      <c r="M56" s="44"/>
    </row>
    <row r="57" spans="2:13" ht="13.95" customHeight="1" x14ac:dyDescent="0.3">
      <c r="B57" s="42"/>
      <c r="C57" s="115"/>
      <c r="D57" s="67" t="s">
        <v>248</v>
      </c>
      <c r="E57" s="78" t="s">
        <v>216</v>
      </c>
      <c r="F57" s="68"/>
      <c r="G57" s="69" t="str">
        <f>IF($F$8=" ","",IFERROR(IF($L$9="","",IFERROR(VLOOKUP(IFERROR(VLOOKUP(D57,Notas!B:B,1,FALSE),VLOOKUP(D57,Equivalencia!A:F,5,FALSE)),Notas!B:B,1,FALSE),VLOOKUP(D57,Equivalencia!A:H,8,FALSE))),""))</f>
        <v/>
      </c>
      <c r="H57" s="78" t="str">
        <f>IFERROR(IF($L$9="","",IFERROR(IFERROR(VLOOKUP(G57,Equivalencia!A:B,2,FALSE),VLOOKUP(G57,Equivalencia!E:F,2,FALSE)),VLOOKUP(G57,Equivalencia!H:I,2,FALSE))),"")</f>
        <v/>
      </c>
      <c r="I57" s="86"/>
      <c r="J57" s="70">
        <v>4</v>
      </c>
      <c r="K57" s="71" t="str">
        <f>IF($F$8=" ","",VLOOKUP(G57,Notas!B:K,8,FALSE)/1000)</f>
        <v/>
      </c>
      <c r="L57" s="72" t="str">
        <f>IFERROR(IF(VLOOKUP(G57,Notas!B:K,9,FALSE)=".000","",VLOOKUP(G57,Notas!B:K,9,FALSE)/1000),"")</f>
        <v/>
      </c>
      <c r="M57" s="44"/>
    </row>
    <row r="58" spans="2:13" ht="13.95" customHeight="1" x14ac:dyDescent="0.3">
      <c r="B58" s="42"/>
      <c r="C58" s="115"/>
      <c r="D58" s="67" t="s">
        <v>249</v>
      </c>
      <c r="E58" s="78" t="s">
        <v>217</v>
      </c>
      <c r="F58" s="68"/>
      <c r="G58" s="69" t="str">
        <f>IF($F$8=" ","",IFERROR(IF($L$9="","",IFERROR(VLOOKUP(IFERROR(VLOOKUP(D58,Notas!B:B,1,FALSE),VLOOKUP(D58,Equivalencia!A:F,5,FALSE)),Notas!B:B,1,FALSE),VLOOKUP(D58,Equivalencia!A:H,8,FALSE))),""))</f>
        <v/>
      </c>
      <c r="H58" s="78" t="str">
        <f>IFERROR(IF($L$9="","",IFERROR(IFERROR(VLOOKUP(G58,Equivalencia!A:B,2,FALSE),VLOOKUP(G58,Equivalencia!E:F,2,FALSE)),VLOOKUP(G58,Equivalencia!H:I,2,FALSE))),"")</f>
        <v/>
      </c>
      <c r="I58" s="86"/>
      <c r="J58" s="70">
        <v>3</v>
      </c>
      <c r="K58" s="71" t="str">
        <f>IF($F$8=" ","",VLOOKUP(G58,Notas!B:K,8,FALSE)/1000)</f>
        <v/>
      </c>
      <c r="L58" s="72" t="str">
        <f>IFERROR(IF(VLOOKUP(G58,Notas!B:K,9,FALSE)=".000","",VLOOKUP(G58,Notas!B:K,9,FALSE)/1000),"")</f>
        <v/>
      </c>
      <c r="M58" s="44"/>
    </row>
    <row r="59" spans="2:13" ht="13.95" customHeight="1" x14ac:dyDescent="0.3">
      <c r="B59" s="42"/>
      <c r="C59" s="115"/>
      <c r="D59" s="67" t="s">
        <v>250</v>
      </c>
      <c r="E59" s="78" t="s">
        <v>218</v>
      </c>
      <c r="F59" s="68"/>
      <c r="G59" s="69" t="str">
        <f>IF($F$8=" ","",IFERROR(IF($L$9="","",IFERROR(VLOOKUP(IFERROR(VLOOKUP(D59,Notas!B:B,1,FALSE),VLOOKUP(D59,Equivalencia!A:F,5,FALSE)),Notas!B:B,1,FALSE),VLOOKUP(D59,Equivalencia!A:H,8,FALSE))),""))</f>
        <v/>
      </c>
      <c r="H59" s="78" t="str">
        <f>IFERROR(IF($L$9="","",IFERROR(IFERROR(VLOOKUP(G59,Equivalencia!A:B,2,FALSE),VLOOKUP(G59,Equivalencia!E:F,2,FALSE)),VLOOKUP(G59,Equivalencia!H:I,2,FALSE))),"")</f>
        <v/>
      </c>
      <c r="I59" s="86"/>
      <c r="J59" s="70">
        <v>3</v>
      </c>
      <c r="K59" s="71" t="str">
        <f>IF($F$8=" ","",VLOOKUP(G59,Notas!B:K,8,FALSE)/1000)</f>
        <v/>
      </c>
      <c r="L59" s="72" t="str">
        <f>IFERROR(IF(VLOOKUP(G59,Notas!B:K,9,FALSE)=".000","",VLOOKUP(G59,Notas!B:K,9,FALSE)/1000),"")</f>
        <v/>
      </c>
      <c r="M59" s="44"/>
    </row>
    <row r="60" spans="2:13" ht="13.95" customHeight="1" x14ac:dyDescent="0.3">
      <c r="B60" s="42"/>
      <c r="C60" s="115"/>
      <c r="D60" s="67" t="s">
        <v>251</v>
      </c>
      <c r="E60" s="78" t="s">
        <v>219</v>
      </c>
      <c r="F60" s="68"/>
      <c r="G60" s="69" t="str">
        <f>IF($F$8=" ","",IFERROR(IF($L$9="","",IFERROR(VLOOKUP(IFERROR(VLOOKUP(D60,Notas!B:B,1,FALSE),VLOOKUP(D60,Equivalencia!A:F,5,FALSE)),Notas!B:B,1,FALSE),VLOOKUP(D60,Equivalencia!A:H,8,FALSE))),""))</f>
        <v/>
      </c>
      <c r="H60" s="78" t="str">
        <f>IFERROR(IF($L$9="","",IFERROR(IFERROR(VLOOKUP(G60,Equivalencia!A:B,2,FALSE),VLOOKUP(G60,Equivalencia!E:F,2,FALSE)),VLOOKUP(G60,Equivalencia!H:I,2,FALSE))),"")</f>
        <v/>
      </c>
      <c r="I60" s="86"/>
      <c r="J60" s="70">
        <v>4</v>
      </c>
      <c r="K60" s="71" t="str">
        <f>IF($F$8=" ","",VLOOKUP(G60,Notas!B:K,8,FALSE)/1000)</f>
        <v/>
      </c>
      <c r="L60" s="72" t="str">
        <f>IFERROR(IF(VLOOKUP(G60,Notas!B:K,9,FALSE)=".000","",VLOOKUP(G60,Notas!B:K,9,FALSE)/1000),"")</f>
        <v/>
      </c>
      <c r="M60" s="44"/>
    </row>
    <row r="61" spans="2:13" ht="13.95" customHeight="1" x14ac:dyDescent="0.3">
      <c r="B61" s="42"/>
      <c r="C61" s="115"/>
      <c r="D61" s="67" t="s">
        <v>252</v>
      </c>
      <c r="E61" s="78" t="s">
        <v>220</v>
      </c>
      <c r="F61" s="68"/>
      <c r="G61" s="69" t="str">
        <f>IF($F$8=" ","",IFERROR(IF($L$9="","",IFERROR(VLOOKUP(IFERROR(VLOOKUP(D61,Notas!B:B,1,FALSE),VLOOKUP(D61,Equivalencia!A:F,5,FALSE)),Notas!B:B,1,FALSE),VLOOKUP(D61,Equivalencia!A:H,8,FALSE))),""))</f>
        <v/>
      </c>
      <c r="H61" s="78" t="str">
        <f>IFERROR(IF($L$9="","",IFERROR(IFERROR(VLOOKUP(G61,Equivalencia!A:B,2,FALSE),VLOOKUP(G61,Equivalencia!E:F,2,FALSE)),VLOOKUP(G61,Equivalencia!H:I,2,FALSE))),"")</f>
        <v/>
      </c>
      <c r="I61" s="86"/>
      <c r="J61" s="70">
        <v>2</v>
      </c>
      <c r="K61" s="71" t="str">
        <f>IF($F$8=" ","",VLOOKUP(G61,Notas!B:K,8,FALSE)/1000)</f>
        <v/>
      </c>
      <c r="L61" s="72" t="str">
        <f>IFERROR(IF(VLOOKUP(G61,Notas!B:K,9,FALSE)=".000","",VLOOKUP(G61,Notas!B:K,9,FALSE)/1000),"")</f>
        <v/>
      </c>
      <c r="M61" s="44"/>
    </row>
    <row r="62" spans="2:13" ht="13.95" customHeight="1" x14ac:dyDescent="0.3">
      <c r="B62" s="42"/>
      <c r="C62" s="115"/>
      <c r="D62" s="67" t="s">
        <v>253</v>
      </c>
      <c r="E62" s="78" t="s">
        <v>221</v>
      </c>
      <c r="F62" s="68"/>
      <c r="G62" s="69" t="str">
        <f>IF($F$8=" ","",IFERROR(IF($L$9="","",IFERROR(VLOOKUP(IFERROR(VLOOKUP(D62,Notas!B:B,1,FALSE),VLOOKUP(D62,Equivalencia!A:F,5,FALSE)),Notas!B:B,1,FALSE),VLOOKUP(D62,Equivalencia!A:H,8,FALSE))),""))</f>
        <v/>
      </c>
      <c r="H62" s="78" t="str">
        <f>IFERROR(IF($L$9="","",IFERROR(IFERROR(VLOOKUP(G62,Equivalencia!A:B,2,FALSE),VLOOKUP(G62,Equivalencia!E:F,2,FALSE)),VLOOKUP(G62,Equivalencia!H:I,2,FALSE))),"")</f>
        <v/>
      </c>
      <c r="I62" s="86"/>
      <c r="J62" s="70">
        <v>3</v>
      </c>
      <c r="K62" s="71" t="str">
        <f>IF($F$8=" ","",VLOOKUP(G62,Notas!B:K,8,FALSE)/1000)</f>
        <v/>
      </c>
      <c r="L62" s="72" t="str">
        <f>IFERROR(IF(VLOOKUP(G62,Notas!B:K,9,FALSE)=".000","",VLOOKUP(G62,Notas!B:K,9,FALSE)/1000),"")</f>
        <v/>
      </c>
      <c r="M62" s="44"/>
    </row>
    <row r="63" spans="2:13" ht="13.95" customHeight="1" x14ac:dyDescent="0.3">
      <c r="B63" s="42"/>
      <c r="C63" s="115"/>
      <c r="D63" s="67" t="s">
        <v>254</v>
      </c>
      <c r="E63" s="78" t="s">
        <v>222</v>
      </c>
      <c r="F63" s="68"/>
      <c r="G63" s="69" t="str">
        <f>IF($F$8=" ","",IFERROR(IF($L$9="","",IFERROR(VLOOKUP(IFERROR(VLOOKUP(D63,Notas!B:B,1,FALSE),VLOOKUP(D63,Equivalencia!A:F,5,FALSE)),Notas!B:B,1,FALSE),VLOOKUP(D63,Equivalencia!A:H,8,FALSE))),""))</f>
        <v/>
      </c>
      <c r="H63" s="78" t="str">
        <f>IFERROR(IF($L$9="","",IFERROR(IFERROR(VLOOKUP(G63,Equivalencia!A:B,2,FALSE),VLOOKUP(G63,Equivalencia!E:F,2,FALSE)),VLOOKUP(G63,Equivalencia!H:I,2,FALSE))),"")</f>
        <v/>
      </c>
      <c r="I63" s="86"/>
      <c r="J63" s="70">
        <v>3</v>
      </c>
      <c r="K63" s="71" t="str">
        <f>IF($F$8=" ","",VLOOKUP(G63,Notas!B:K,8,FALSE)/1000)</f>
        <v/>
      </c>
      <c r="L63" s="72" t="str">
        <f>IFERROR(IF(VLOOKUP(G63,Notas!B:K,9,FALSE)=".000","",VLOOKUP(G63,Notas!B:K,9,FALSE)/1000),"")</f>
        <v/>
      </c>
      <c r="M63" s="44"/>
    </row>
    <row r="64" spans="2:13" ht="13.95" customHeight="1" x14ac:dyDescent="0.3">
      <c r="B64" s="42"/>
      <c r="C64" s="115"/>
      <c r="D64" s="67" t="s">
        <v>255</v>
      </c>
      <c r="E64" s="78" t="s">
        <v>223</v>
      </c>
      <c r="F64" s="68"/>
      <c r="G64" s="69" t="str">
        <f>IF($F$8=" ","",IFERROR(IF($L$9="","",IFERROR(VLOOKUP(IFERROR(VLOOKUP(D64,Notas!B:B,1,FALSE),VLOOKUP(D64,Equivalencia!A:F,5,FALSE)),Notas!B:B,1,FALSE),VLOOKUP(D64,Equivalencia!A:H,8,FALSE))),""))</f>
        <v/>
      </c>
      <c r="H64" s="78" t="str">
        <f>IFERROR(IF($L$9="","",IFERROR(IFERROR(VLOOKUP(G64,Equivalencia!A:B,2,FALSE),VLOOKUP(G64,Equivalencia!E:F,2,FALSE)),VLOOKUP(G64,Equivalencia!H:I,2,FALSE))),"")</f>
        <v/>
      </c>
      <c r="I64" s="86"/>
      <c r="J64" s="70">
        <v>3</v>
      </c>
      <c r="K64" s="71" t="str">
        <f>IF($F$8=" ","",VLOOKUP(G64,Notas!B:K,8,FALSE)/1000)</f>
        <v/>
      </c>
      <c r="L64" s="72" t="str">
        <f>IFERROR(IF(VLOOKUP(G64,Notas!B:K,9,FALSE)=".000","",VLOOKUP(G64,Notas!B:K,9,FALSE)/1000),"")</f>
        <v/>
      </c>
      <c r="M64" s="44"/>
    </row>
    <row r="65" spans="2:14" ht="13.95" customHeight="1" x14ac:dyDescent="0.3">
      <c r="B65" s="42"/>
      <c r="C65" s="115"/>
      <c r="D65" s="67" t="s">
        <v>256</v>
      </c>
      <c r="E65" s="78" t="s">
        <v>224</v>
      </c>
      <c r="F65" s="68"/>
      <c r="G65" s="69" t="str">
        <f>IF($F$8=" ","",IFERROR(IF($L$9="","",IFERROR(VLOOKUP(IFERROR(VLOOKUP(D65,Notas!B:B,1,FALSE),VLOOKUP(D65,Equivalencia!A:F,5,FALSE)),Notas!B:B,1,FALSE),VLOOKUP(D65,Equivalencia!A:H,8,FALSE))),""))</f>
        <v/>
      </c>
      <c r="H65" s="78" t="str">
        <f>IFERROR(IF($L$9="","",IFERROR(IFERROR(VLOOKUP(G65,Equivalencia!A:B,2,FALSE),VLOOKUP(G65,Equivalencia!E:F,2,FALSE)),VLOOKUP(G65,Equivalencia!H:I,2,FALSE))),"")</f>
        <v/>
      </c>
      <c r="I65" s="86"/>
      <c r="J65" s="70">
        <v>2</v>
      </c>
      <c r="K65" s="71" t="str">
        <f>IF($F$8=" ","",VLOOKUP(G65,Notas!B:K,8,FALSE)/1000)</f>
        <v/>
      </c>
      <c r="L65" s="72" t="str">
        <f>IFERROR(IF(VLOOKUP(G65,Notas!B:K,9,FALSE)=".000","",VLOOKUP(G65,Notas!B:K,9,FALSE)/1000),"")</f>
        <v/>
      </c>
      <c r="M65" s="44"/>
    </row>
    <row r="66" spans="2:14" ht="13.95" customHeight="1" x14ac:dyDescent="0.3">
      <c r="B66" s="42"/>
      <c r="C66" s="115"/>
      <c r="D66" s="67" t="s">
        <v>257</v>
      </c>
      <c r="E66" s="78" t="s">
        <v>225</v>
      </c>
      <c r="F66" s="68"/>
      <c r="G66" s="69" t="str">
        <f>IF($F$8=" ","",IFERROR(IF($L$9="","",IFERROR(VLOOKUP(IFERROR(VLOOKUP(D66,Notas!B:B,1,FALSE),VLOOKUP(D66,Equivalencia!A:F,5,FALSE)),Notas!B:B,1,FALSE),VLOOKUP(D66,Equivalencia!A:H,8,FALSE))),""))</f>
        <v/>
      </c>
      <c r="H66" s="78" t="str">
        <f>IFERROR(IF($L$9="","",IFERROR(IFERROR(VLOOKUP(G66,Equivalencia!A:B,2,FALSE),VLOOKUP(G66,Equivalencia!E:F,2,FALSE)),VLOOKUP(G66,Equivalencia!H:I,2,FALSE))),"")</f>
        <v/>
      </c>
      <c r="I66" s="86"/>
      <c r="J66" s="70">
        <v>3</v>
      </c>
      <c r="K66" s="71" t="str">
        <f>IF($F$8=" ","",VLOOKUP(G66,Notas!B:K,8,FALSE)/1000)</f>
        <v/>
      </c>
      <c r="L66" s="72" t="str">
        <f>IFERROR(IF(VLOOKUP(G66,Notas!B:K,9,FALSE)=".000","",VLOOKUP(G66,Notas!B:K,9,FALSE)/1000),"")</f>
        <v/>
      </c>
      <c r="M66" s="44"/>
    </row>
    <row r="67" spans="2:14" ht="13.95" customHeight="1" x14ac:dyDescent="0.3">
      <c r="B67" s="42"/>
      <c r="C67" s="115"/>
      <c r="D67" s="67" t="s">
        <v>258</v>
      </c>
      <c r="E67" s="78" t="s">
        <v>226</v>
      </c>
      <c r="F67" s="68"/>
      <c r="G67" s="69" t="str">
        <f>IF($F$8=" ","",IFERROR(IF($L$9="","",IFERROR(VLOOKUP(IFERROR(VLOOKUP(D67,Notas!B:B,1,FALSE),VLOOKUP(D67,Equivalencia!A:F,5,FALSE)),Notas!B:B,1,FALSE),VLOOKUP(D67,Equivalencia!A:H,8,FALSE))),""))</f>
        <v/>
      </c>
      <c r="H67" s="78" t="str">
        <f>IFERROR(IF($L$9="","",IFERROR(IFERROR(VLOOKUP(G67,Equivalencia!A:B,2,FALSE),VLOOKUP(G67,Equivalencia!E:F,2,FALSE)),VLOOKUP(G67,Equivalencia!H:I,2,FALSE))),"")</f>
        <v/>
      </c>
      <c r="I67" s="86"/>
      <c r="J67" s="70">
        <v>3</v>
      </c>
      <c r="K67" s="71" t="str">
        <f>IF($F$8=" ","",VLOOKUP(G67,Notas!B:K,8,FALSE)/1000)</f>
        <v/>
      </c>
      <c r="L67" s="72" t="str">
        <f>IFERROR(IF(VLOOKUP(G67,Notas!B:K,9,FALSE)=".000","",VLOOKUP(G67,Notas!B:K,9,FALSE)/1000),"")</f>
        <v/>
      </c>
      <c r="M67" s="44"/>
    </row>
    <row r="68" spans="2:14" ht="13.95" customHeight="1" x14ac:dyDescent="0.3">
      <c r="B68" s="42"/>
      <c r="C68" s="115"/>
      <c r="D68" s="67" t="s">
        <v>259</v>
      </c>
      <c r="E68" s="78" t="s">
        <v>227</v>
      </c>
      <c r="F68" s="68"/>
      <c r="G68" s="69" t="str">
        <f>IF($F$8=" ","",IFERROR(IF($L$9="","",IFERROR(VLOOKUP(IFERROR(VLOOKUP(D68,Notas!B:B,1,FALSE),VLOOKUP(D68,Equivalencia!A:F,5,FALSE)),Notas!B:B,1,FALSE),VLOOKUP(D68,Equivalencia!A:H,8,FALSE))),""))</f>
        <v/>
      </c>
      <c r="H68" s="78" t="str">
        <f>IFERROR(IF($L$9="","",IFERROR(IFERROR(VLOOKUP(G68,Equivalencia!A:B,2,FALSE),VLOOKUP(G68,Equivalencia!E:F,2,FALSE)),VLOOKUP(G68,Equivalencia!H:I,2,FALSE))),"")</f>
        <v/>
      </c>
      <c r="I68" s="86"/>
      <c r="J68" s="70">
        <v>2</v>
      </c>
      <c r="K68" s="71" t="str">
        <f>IF($F$8=" ","",VLOOKUP(G68,Notas!B:K,8,FALSE)/1000)</f>
        <v/>
      </c>
      <c r="L68" s="72" t="str">
        <f>IFERROR(IF(VLOOKUP(G68,Notas!B:K,9,FALSE)=".000","",VLOOKUP(G68,Notas!B:K,9,FALSE)/1000),"")</f>
        <v/>
      </c>
      <c r="M68" s="44"/>
    </row>
    <row r="69" spans="2:14" ht="13.95" customHeight="1" x14ac:dyDescent="0.3">
      <c r="B69" s="42"/>
      <c r="C69" s="115"/>
      <c r="D69" s="67" t="s">
        <v>260</v>
      </c>
      <c r="E69" s="78" t="s">
        <v>228</v>
      </c>
      <c r="F69" s="68"/>
      <c r="G69" s="69" t="str">
        <f>IF($F$8=" ","",IFERROR(IF($L$9="","",IFERROR(VLOOKUP(IFERROR(VLOOKUP(D69,Notas!B:B,1,FALSE),VLOOKUP(D69,Equivalencia!A:F,5,FALSE)),Notas!B:B,1,FALSE),VLOOKUP(D69,Equivalencia!A:H,8,FALSE))),""))</f>
        <v/>
      </c>
      <c r="H69" s="78" t="str">
        <f>IFERROR(IF($L$9="","",IFERROR(IFERROR(VLOOKUP(G69,Equivalencia!A:B,2,FALSE),VLOOKUP(G69,Equivalencia!E:F,2,FALSE)),VLOOKUP(G69,Equivalencia!H:I,2,FALSE))),"")</f>
        <v/>
      </c>
      <c r="I69" s="86"/>
      <c r="J69" s="70">
        <v>2</v>
      </c>
      <c r="K69" s="71" t="str">
        <f>IF($F$8=" ","",VLOOKUP(G69,Notas!B:K,8,FALSE)/1000)</f>
        <v/>
      </c>
      <c r="L69" s="72" t="str">
        <f>IFERROR(IF(VLOOKUP(G69,Notas!B:K,9,FALSE)=".000","",VLOOKUP(G69,Notas!B:K,9,FALSE)/1000),"")</f>
        <v/>
      </c>
      <c r="M69" s="44"/>
    </row>
    <row r="70" spans="2:14" ht="13.95" customHeight="1" x14ac:dyDescent="0.3">
      <c r="B70" s="42"/>
      <c r="C70" s="115"/>
      <c r="D70" s="67" t="s">
        <v>261</v>
      </c>
      <c r="E70" s="78" t="s">
        <v>229</v>
      </c>
      <c r="F70" s="68"/>
      <c r="G70" s="69" t="str">
        <f>IF($F$8=" ","",IFERROR(IF($L$9="","",IFERROR(VLOOKUP(IFERROR(VLOOKUP(D70,Notas!B:B,1,FALSE),VLOOKUP(D70,Equivalencia!A:F,5,FALSE)),Notas!B:B,1,FALSE),VLOOKUP(D70,Equivalencia!A:H,8,FALSE))),""))</f>
        <v/>
      </c>
      <c r="H70" s="78" t="str">
        <f>IFERROR(IF($L$9="","",IFERROR(IFERROR(VLOOKUP(G70,Equivalencia!A:B,2,FALSE),VLOOKUP(G70,Equivalencia!E:F,2,FALSE)),VLOOKUP(G70,Equivalencia!H:I,2,FALSE))),"")</f>
        <v/>
      </c>
      <c r="I70" s="86"/>
      <c r="J70" s="70">
        <v>3</v>
      </c>
      <c r="K70" s="71" t="str">
        <f>IF($F$8=" ","",VLOOKUP(G70,Notas!B:K,8,FALSE)/1000)</f>
        <v/>
      </c>
      <c r="L70" s="72" t="str">
        <f>IFERROR(IF(VLOOKUP(G70,Notas!B:K,9,FALSE)=".000","",VLOOKUP(G70,Notas!B:K,9,FALSE)/1000),"")</f>
        <v/>
      </c>
      <c r="M70" s="44"/>
    </row>
    <row r="71" spans="2:14" ht="13.95" customHeight="1" x14ac:dyDescent="0.3">
      <c r="B71" s="42"/>
      <c r="C71" s="116"/>
      <c r="D71" s="93" t="s">
        <v>262</v>
      </c>
      <c r="E71" s="94" t="s">
        <v>230</v>
      </c>
      <c r="F71" s="95"/>
      <c r="G71" s="96" t="str">
        <f>IF($F$8=" ","",IFERROR(IF($L$9="","",IFERROR(VLOOKUP(IFERROR(VLOOKUP(D71,Notas!B:B,1,FALSE),VLOOKUP(D71,Equivalencia!A:F,5,FALSE)),Notas!B:B,1,FALSE),VLOOKUP(D71,Equivalencia!A:H,8,FALSE))),""))</f>
        <v/>
      </c>
      <c r="H71" s="94" t="str">
        <f>IFERROR(IF($L$9="","",IFERROR(IFERROR(VLOOKUP(G71,Equivalencia!A:B,2,FALSE),VLOOKUP(G71,Equivalencia!E:F,2,FALSE)),VLOOKUP(G71,Equivalencia!H:I,2,FALSE))),"")</f>
        <v/>
      </c>
      <c r="I71" s="97"/>
      <c r="J71" s="98">
        <v>2</v>
      </c>
      <c r="K71" s="99" t="str">
        <f>IF($F$8=" ","",VLOOKUP(G71,Notas!B:K,8,FALSE)/1000)</f>
        <v/>
      </c>
      <c r="L71" s="100" t="str">
        <f>IFERROR(IF(VLOOKUP(G71,Notas!B:K,9,FALSE)=".000","",VLOOKUP(G71,Notas!B:K,9,FALSE)/1000),"")</f>
        <v/>
      </c>
      <c r="M71" s="44"/>
    </row>
    <row r="72" spans="2:14" ht="13.95" customHeight="1" x14ac:dyDescent="0.3">
      <c r="B72" s="42"/>
      <c r="C72" s="160" t="s">
        <v>274</v>
      </c>
      <c r="D72" s="161"/>
      <c r="E72" s="161"/>
      <c r="F72" s="162"/>
      <c r="G72" s="89" t="str">
        <f>Optativas!D4</f>
        <v>IN951</v>
      </c>
      <c r="H72" s="166" t="str">
        <f>Optativas!E4</f>
        <v>Telemática</v>
      </c>
      <c r="I72" s="167"/>
      <c r="J72" s="90">
        <f>Optativas!F4</f>
        <v>3</v>
      </c>
      <c r="K72" s="91" t="str">
        <f>IF($F$8=" ","",VLOOKUP(G72,Notas!B:K,8,FALSE)/1000)</f>
        <v/>
      </c>
      <c r="L72" s="92" t="str">
        <f>IFERROR(IF(VLOOKUP(G72,Notas!B:K,9,FALSE)=".000","",VLOOKUP(G72,Notas!B:K,9,FALSE)/1000),"")</f>
        <v/>
      </c>
      <c r="M72" s="44"/>
    </row>
    <row r="73" spans="2:14" ht="13.95" customHeight="1" x14ac:dyDescent="0.3">
      <c r="B73" s="42"/>
      <c r="C73" s="163"/>
      <c r="D73" s="164"/>
      <c r="E73" s="164"/>
      <c r="F73" s="165"/>
      <c r="G73" s="73" t="str">
        <f>Optativas!D5</f>
        <v>IN952</v>
      </c>
      <c r="H73" s="168" t="str">
        <f>Optativas!E5</f>
        <v>Robótica</v>
      </c>
      <c r="I73" s="169"/>
      <c r="J73" s="74">
        <f>Optativas!F5</f>
        <v>3</v>
      </c>
      <c r="K73" s="75" t="str">
        <f>IF($F$8=" ","",VLOOKUP(G73,Notas!B:K,8,FALSE)/1000)</f>
        <v/>
      </c>
      <c r="L73" s="76" t="str">
        <f>IFERROR(IF(VLOOKUP(G73,Notas!B:K,9,FALSE)=".000","",VLOOKUP(G73,Notas!B:K,9,FALSE)/1000),"")</f>
        <v/>
      </c>
      <c r="M73" s="44"/>
    </row>
    <row r="74" spans="2:14" ht="9.4499999999999993" customHeight="1" x14ac:dyDescent="0.3">
      <c r="B74" s="42"/>
      <c r="C74" s="82"/>
      <c r="D74" s="22"/>
      <c r="E74" s="23"/>
      <c r="F74" s="23"/>
      <c r="G74" s="22"/>
      <c r="H74" s="23"/>
      <c r="I74" s="23"/>
      <c r="J74" s="24"/>
      <c r="K74" s="22"/>
      <c r="L74" s="22"/>
      <c r="M74" s="44"/>
      <c r="N74" s="35" t="s">
        <v>0</v>
      </c>
    </row>
    <row r="75" spans="2:14" ht="13.5" customHeight="1" x14ac:dyDescent="0.3">
      <c r="B75" s="42"/>
      <c r="C75" s="177" t="s">
        <v>148</v>
      </c>
      <c r="D75" s="178"/>
      <c r="E75" s="178"/>
      <c r="F75" s="178"/>
      <c r="G75" s="178"/>
      <c r="H75" s="178"/>
      <c r="I75" s="179"/>
      <c r="J75" s="171">
        <f>SUM(J12:J73)</f>
        <v>157</v>
      </c>
      <c r="K75" s="172"/>
      <c r="L75" s="173"/>
      <c r="M75" s="44"/>
    </row>
    <row r="76" spans="2:14" ht="13.5" customHeight="1" x14ac:dyDescent="0.3">
      <c r="B76" s="42"/>
      <c r="C76" s="185" t="s">
        <v>45</v>
      </c>
      <c r="D76" s="186"/>
      <c r="E76" s="186"/>
      <c r="F76" s="186"/>
      <c r="G76" s="186"/>
      <c r="H76" s="186"/>
      <c r="I76" s="187"/>
      <c r="J76" s="174">
        <f>IFERROR(SUMPRODUCT(J12:J73,K12:K73)/J75,"")</f>
        <v>0</v>
      </c>
      <c r="K76" s="175"/>
      <c r="L76" s="176"/>
      <c r="M76" s="44"/>
    </row>
    <row r="77" spans="2:14" ht="9.4499999999999993" customHeight="1" x14ac:dyDescent="0.3">
      <c r="B77" s="42"/>
      <c r="C77" s="81"/>
      <c r="D77" s="3"/>
      <c r="E77" s="4"/>
      <c r="F77" s="4"/>
      <c r="G77" s="3"/>
      <c r="H77" s="4"/>
      <c r="I77" s="4"/>
      <c r="J77" s="5"/>
      <c r="K77" s="3"/>
      <c r="L77" s="3"/>
      <c r="M77" s="44"/>
    </row>
    <row r="78" spans="2:14" ht="12.45" customHeight="1" x14ac:dyDescent="0.3">
      <c r="B78" s="42"/>
      <c r="C78" s="88" t="s">
        <v>195</v>
      </c>
      <c r="D78" s="55"/>
      <c r="E78" s="52"/>
      <c r="F78" s="52"/>
      <c r="G78" s="52"/>
      <c r="H78" s="52"/>
      <c r="I78" s="52"/>
      <c r="J78" s="52"/>
      <c r="K78" s="52"/>
      <c r="L78" s="53"/>
      <c r="M78" s="44"/>
    </row>
    <row r="79" spans="2:14" ht="33.75" customHeight="1" x14ac:dyDescent="0.3">
      <c r="B79" s="42"/>
      <c r="C79" s="182"/>
      <c r="D79" s="183"/>
      <c r="E79" s="183"/>
      <c r="F79" s="183"/>
      <c r="G79" s="183"/>
      <c r="H79" s="183"/>
      <c r="I79" s="183"/>
      <c r="J79" s="183"/>
      <c r="K79" s="183"/>
      <c r="L79" s="184"/>
      <c r="M79" s="44"/>
    </row>
    <row r="80" spans="2:14" ht="8.25" customHeight="1" x14ac:dyDescent="0.3">
      <c r="B80" s="42"/>
      <c r="C80" s="87"/>
      <c r="D80" s="56"/>
      <c r="E80" s="50"/>
      <c r="F80" s="50"/>
      <c r="G80" s="50"/>
      <c r="H80" s="50"/>
      <c r="I80" s="50"/>
      <c r="J80" s="50"/>
      <c r="K80" s="50"/>
      <c r="L80" s="50"/>
      <c r="M80" s="44"/>
    </row>
    <row r="81" spans="2:13" ht="14.4" customHeight="1" x14ac:dyDescent="0.3">
      <c r="B81" s="42"/>
      <c r="C81" s="81"/>
      <c r="D81" s="3"/>
      <c r="E81" s="181"/>
      <c r="F81" s="181"/>
      <c r="G81" s="181"/>
      <c r="H81" s="4"/>
      <c r="I81" s="181"/>
      <c r="J81" s="181"/>
      <c r="K81" s="181"/>
      <c r="L81" s="3"/>
      <c r="M81" s="44"/>
    </row>
    <row r="82" spans="2:13" ht="10.5" customHeight="1" x14ac:dyDescent="0.3">
      <c r="B82" s="42"/>
      <c r="C82" s="81"/>
      <c r="D82" s="3"/>
      <c r="E82" s="181"/>
      <c r="F82" s="181"/>
      <c r="G82" s="181"/>
      <c r="H82" s="4"/>
      <c r="I82" s="181"/>
      <c r="J82" s="181"/>
      <c r="K82" s="181"/>
      <c r="L82" s="3"/>
      <c r="M82" s="44"/>
    </row>
    <row r="83" spans="2:13" ht="12" customHeight="1" x14ac:dyDescent="0.3">
      <c r="B83" s="42"/>
      <c r="C83" s="81"/>
      <c r="D83" s="3"/>
      <c r="E83" s="181"/>
      <c r="F83" s="181"/>
      <c r="G83" s="181"/>
      <c r="H83" s="4"/>
      <c r="I83" s="181"/>
      <c r="J83" s="181"/>
      <c r="K83" s="181"/>
      <c r="L83" s="3"/>
      <c r="M83" s="44"/>
    </row>
    <row r="84" spans="2:13" ht="8.25" customHeight="1" x14ac:dyDescent="0.3">
      <c r="B84" s="42"/>
      <c r="C84" s="81"/>
      <c r="D84" s="3"/>
      <c r="E84" s="181"/>
      <c r="F84" s="181"/>
      <c r="G84" s="181"/>
      <c r="H84" s="4"/>
      <c r="I84" s="181"/>
      <c r="J84" s="181"/>
      <c r="K84" s="181"/>
      <c r="L84" s="3"/>
      <c r="M84" s="44"/>
    </row>
    <row r="85" spans="2:13" ht="2.25" customHeight="1" x14ac:dyDescent="0.3">
      <c r="B85" s="42"/>
      <c r="C85" s="81"/>
      <c r="D85" s="3"/>
      <c r="E85" s="33"/>
      <c r="F85" s="33"/>
      <c r="G85" s="33"/>
      <c r="H85" s="4"/>
      <c r="I85" s="33"/>
      <c r="J85" s="33"/>
      <c r="K85" s="33"/>
      <c r="L85" s="3"/>
      <c r="M85" s="44"/>
    </row>
    <row r="86" spans="2:13" ht="13.2" customHeight="1" x14ac:dyDescent="0.3">
      <c r="B86" s="42"/>
      <c r="C86" s="81"/>
      <c r="D86" s="3"/>
      <c r="E86" s="180"/>
      <c r="F86" s="180"/>
      <c r="G86" s="180"/>
      <c r="H86" s="34"/>
      <c r="I86" s="180"/>
      <c r="J86" s="180"/>
      <c r="K86" s="180"/>
      <c r="L86" s="3"/>
      <c r="M86" s="44"/>
    </row>
    <row r="87" spans="2:13" ht="11.7" customHeight="1" x14ac:dyDescent="0.3">
      <c r="B87" s="42"/>
      <c r="C87" s="81"/>
      <c r="D87" s="3"/>
      <c r="E87" s="170" t="s">
        <v>46</v>
      </c>
      <c r="F87" s="170"/>
      <c r="G87" s="170"/>
      <c r="H87" s="34"/>
      <c r="I87" s="170" t="s">
        <v>47</v>
      </c>
      <c r="J87" s="170"/>
      <c r="K87" s="170"/>
      <c r="L87" s="3"/>
      <c r="M87" s="44"/>
    </row>
    <row r="88" spans="2:13" x14ac:dyDescent="0.3">
      <c r="B88" s="42"/>
      <c r="C88" s="81"/>
      <c r="D88" s="3"/>
      <c r="E88" s="4"/>
      <c r="F88" s="4"/>
      <c r="G88" s="3"/>
      <c r="H88" s="4"/>
      <c r="I88" s="4"/>
      <c r="J88" s="5"/>
      <c r="K88" s="3"/>
      <c r="L88" s="3"/>
      <c r="M88" s="44"/>
    </row>
    <row r="89" spans="2:13" x14ac:dyDescent="0.3">
      <c r="B89" s="45"/>
      <c r="C89" s="83"/>
      <c r="D89" s="46"/>
      <c r="E89" s="47"/>
      <c r="F89" s="47"/>
      <c r="G89" s="46"/>
      <c r="H89" s="47"/>
      <c r="I89" s="47"/>
      <c r="J89" s="48"/>
      <c r="K89" s="46"/>
      <c r="L89" s="46"/>
      <c r="M89" s="49"/>
    </row>
  </sheetData>
  <sheetProtection algorithmName="SHA-512" hashValue="5dkIYQ4V8VULEVbOsofW+lKSxw+NAM3zQQm6vTpEKCTWjEaz/oFr5KWqC5ztZ5Cb+SpAqtLgv82jgLtwr0cHJA==" saltValue="ZL75lWoHOLHE0KhCOYMskg==" spinCount="100000" sheet="1" objects="1" scenarios="1" selectLockedCells="1"/>
  <protectedRanges>
    <protectedRange sqref="C79 E86 I86" name="Editables"/>
  </protectedRanges>
  <mergeCells count="36">
    <mergeCell ref="C72:F73"/>
    <mergeCell ref="H72:I72"/>
    <mergeCell ref="H73:I73"/>
    <mergeCell ref="I87:K87"/>
    <mergeCell ref="J75:L75"/>
    <mergeCell ref="J76:L76"/>
    <mergeCell ref="C75:I75"/>
    <mergeCell ref="I86:K86"/>
    <mergeCell ref="I81:K84"/>
    <mergeCell ref="C79:L79"/>
    <mergeCell ref="C76:I76"/>
    <mergeCell ref="E86:G86"/>
    <mergeCell ref="E87:G87"/>
    <mergeCell ref="E81:G84"/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  <mergeCell ref="C49:C71"/>
    <mergeCell ref="C12:C15"/>
    <mergeCell ref="C16:C28"/>
    <mergeCell ref="C29:C34"/>
    <mergeCell ref="C35:C46"/>
    <mergeCell ref="C47:C48"/>
  </mergeCells>
  <phoneticPr fontId="4" type="noConversion"/>
  <conditionalFormatting sqref="F9">
    <cfRule type="cellIs" dxfId="9" priority="20" operator="equal">
      <formula>"-"</formula>
    </cfRule>
    <cfRule type="cellIs" dxfId="8" priority="21" operator="equal">
      <formula>"- "</formula>
    </cfRule>
  </conditionalFormatting>
  <conditionalFormatting sqref="L12:L73">
    <cfRule type="expression" dxfId="7" priority="17">
      <formula>AND(K12&lt;6,L12="")</formula>
    </cfRule>
  </conditionalFormatting>
  <conditionalFormatting sqref="J75:L76">
    <cfRule type="expression" dxfId="6" priority="16">
      <formula>$J$75&lt;&gt;157</formula>
    </cfRule>
  </conditionalFormatting>
  <conditionalFormatting sqref="K80:K90 K2:K78">
    <cfRule type="cellIs" dxfId="5" priority="13" operator="lessThan">
      <formula>6</formula>
    </cfRule>
  </conditionalFormatting>
  <conditionalFormatting sqref="L9">
    <cfRule type="expression" dxfId="4" priority="8">
      <formula>LEN($L$9)=4</formula>
    </cfRule>
  </conditionalFormatting>
  <conditionalFormatting sqref="D77:D78 D80:D1048576 D74 D1:D71">
    <cfRule type="duplicateValues" dxfId="3" priority="43"/>
  </conditionalFormatting>
  <conditionalFormatting sqref="G1:G1048576">
    <cfRule type="cellIs" dxfId="2" priority="3" operator="equal">
      <formula>0</formula>
    </cfRule>
  </conditionalFormatting>
  <conditionalFormatting sqref="K1:K1048576">
    <cfRule type="containsErrors" dxfId="1" priority="44">
      <formula>ISERROR(K1)</formula>
    </cfRule>
  </conditionalFormatting>
  <conditionalFormatting sqref="J76:L76">
    <cfRule type="containsBlanks" dxfId="0" priority="1">
      <formula>LEN(TRIM(J76))=0</formula>
    </cfRule>
  </conditionalFormatting>
  <dataValidations count="6">
    <dataValidation allowBlank="1" showInputMessage="1" showErrorMessage="1" error="NO SE PUEDE MODIFICAR ESTA CELDA" sqref="C78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 J75:L76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79" scale="72" orientation="portrait" r:id="rId1"/>
  <ignoredErrors>
    <ignoredError sqref="G46 K46" formula="1"/>
    <ignoredError sqref="K70:K71 K12:K34 K36:K45 K72:K73 K47:K53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</xm:sqref>
        </x14:dataValidation>
        <x14:dataValidation type="list" showInputMessage="1" showErrorMessage="1" xr:uid="{535F303F-66B9-438A-A9F7-04C971E5875C}">
          <x14:formula1>
            <xm:f>Optativas!$E$4:$E$13</xm:f>
          </x14:formula1>
          <xm:sqref>H72:I73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2"/>
  <sheetViews>
    <sheetView showRowColHeaders="0" workbookViewId="0"/>
  </sheetViews>
  <sheetFormatPr baseColWidth="10" defaultColWidth="11.44140625" defaultRowHeight="14.4" x14ac:dyDescent="0.3"/>
  <sheetData>
    <row r="3" spans="4:12" x14ac:dyDescent="0.3">
      <c r="D3" s="1"/>
      <c r="H3" s="1"/>
    </row>
    <row r="12" spans="4:12" x14ac:dyDescent="0.3">
      <c r="E12" s="1"/>
      <c r="F12" s="1"/>
      <c r="G12" s="1"/>
      <c r="H12" s="1"/>
      <c r="I12" s="1"/>
      <c r="J12" s="1"/>
      <c r="K12" s="1"/>
      <c r="L12" s="1"/>
    </row>
    <row r="13" spans="4:12" x14ac:dyDescent="0.3">
      <c r="E13" s="1"/>
      <c r="F13" s="1"/>
      <c r="G13" s="1"/>
      <c r="I13" s="1"/>
      <c r="J13" s="1"/>
      <c r="K13" s="1"/>
      <c r="L13" s="1"/>
    </row>
    <row r="14" spans="4:12" x14ac:dyDescent="0.3">
      <c r="E14" s="1"/>
      <c r="F14" s="1"/>
      <c r="G14" s="1"/>
      <c r="I14" s="1"/>
      <c r="J14" s="1"/>
      <c r="K14" s="1"/>
      <c r="L14" s="1"/>
    </row>
    <row r="15" spans="4:12" x14ac:dyDescent="0.3">
      <c r="E15" s="1"/>
      <c r="F15" s="1"/>
      <c r="G15" s="1"/>
      <c r="I15" s="1"/>
      <c r="J15" s="1"/>
      <c r="K15" s="1"/>
      <c r="L15" s="1"/>
    </row>
    <row r="16" spans="4:12" x14ac:dyDescent="0.3">
      <c r="E16" s="1"/>
      <c r="F16" s="1"/>
      <c r="G16" s="1"/>
      <c r="I16" s="1"/>
      <c r="J16" s="1"/>
      <c r="K16" s="1"/>
      <c r="L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N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O21" s="1"/>
      <c r="R21" s="1"/>
      <c r="S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H26" s="1"/>
      <c r="I26" s="1"/>
      <c r="J26" s="1"/>
      <c r="K26" s="1"/>
      <c r="L26" s="1"/>
      <c r="N26" s="1"/>
      <c r="R26" s="1"/>
    </row>
    <row r="27" spans="5:21" x14ac:dyDescent="0.3">
      <c r="E27" s="1"/>
      <c r="F27" s="1"/>
      <c r="G27" s="1"/>
      <c r="I27" s="1"/>
      <c r="J27" s="1"/>
      <c r="K27" s="1"/>
      <c r="L27" s="1"/>
    </row>
    <row r="28" spans="5:21" x14ac:dyDescent="0.3">
      <c r="E28" s="1"/>
      <c r="F28" s="1"/>
      <c r="G28" s="1"/>
      <c r="H28" s="1"/>
      <c r="I28" s="1"/>
      <c r="J28" s="1"/>
      <c r="K28" s="1"/>
      <c r="L28" s="1"/>
      <c r="N28" s="1"/>
      <c r="P28" s="1"/>
      <c r="R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J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R35" s="1"/>
      <c r="S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J40" s="1"/>
      <c r="K40" s="1"/>
      <c r="L40" s="1"/>
      <c r="M40" s="1"/>
      <c r="Q40" s="1"/>
      <c r="U40" s="1"/>
    </row>
    <row r="41" spans="5:21" x14ac:dyDescent="0.3">
      <c r="E41" s="1"/>
      <c r="F41" s="1"/>
      <c r="G41" s="1"/>
      <c r="I41" s="1"/>
      <c r="J41" s="1"/>
      <c r="K41" s="1"/>
      <c r="L41" s="1"/>
      <c r="M41" s="1"/>
      <c r="N41" s="1"/>
      <c r="R41" s="1"/>
    </row>
    <row r="42" spans="5:21" x14ac:dyDescent="0.3">
      <c r="E42" s="1"/>
      <c r="F42" s="1"/>
      <c r="G42" s="1"/>
      <c r="I42" s="1"/>
      <c r="J42" s="1"/>
      <c r="K42" s="1"/>
      <c r="L42" s="1"/>
      <c r="M42" s="1"/>
      <c r="N42" s="1"/>
      <c r="R42" s="1"/>
    </row>
    <row r="43" spans="5:21" x14ac:dyDescent="0.3">
      <c r="E43" s="1"/>
      <c r="F43" s="1"/>
      <c r="G43" s="1"/>
      <c r="H43" s="1"/>
      <c r="I43" s="1"/>
      <c r="J43" s="1"/>
      <c r="K43" s="1"/>
      <c r="L43" s="1"/>
      <c r="N43" s="1"/>
      <c r="R43" s="1"/>
    </row>
    <row r="44" spans="5:21" x14ac:dyDescent="0.3">
      <c r="E44" s="1"/>
      <c r="F44" s="1"/>
      <c r="G44" s="1"/>
      <c r="H44" s="1"/>
      <c r="I44" s="1"/>
      <c r="J44" s="1"/>
      <c r="K44" s="1"/>
      <c r="L44" s="1"/>
      <c r="N44" s="1"/>
      <c r="R44" s="1"/>
    </row>
    <row r="45" spans="5:21" x14ac:dyDescent="0.3">
      <c r="E45" s="1"/>
      <c r="F45" s="1"/>
      <c r="G45" s="1"/>
      <c r="I45" s="1"/>
      <c r="J45" s="1"/>
      <c r="K45" s="1"/>
      <c r="L45" s="1"/>
    </row>
    <row r="46" spans="5:21" x14ac:dyDescent="0.3">
      <c r="E46" s="1"/>
      <c r="F46" s="1"/>
      <c r="G46" s="1"/>
      <c r="I46" s="1"/>
      <c r="K46" s="1"/>
      <c r="N46" s="1"/>
      <c r="R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  <c r="N49" s="1"/>
      <c r="R49" s="1"/>
    </row>
    <row r="50" spans="5:20" x14ac:dyDescent="0.3">
      <c r="E50" s="1"/>
      <c r="F50" s="1"/>
      <c r="G50" s="1"/>
      <c r="I50" s="1"/>
      <c r="K50" s="1"/>
      <c r="N50" s="1"/>
      <c r="O50" s="1"/>
      <c r="R50" s="1"/>
      <c r="S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J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J55" s="1"/>
      <c r="K55" s="1"/>
      <c r="L55" s="1"/>
      <c r="M55" s="1"/>
    </row>
    <row r="56" spans="5:20" x14ac:dyDescent="0.3">
      <c r="E56" s="1"/>
      <c r="F56" s="1"/>
      <c r="G56" s="1"/>
      <c r="H56" s="1"/>
      <c r="I56" s="1"/>
      <c r="J56" s="1"/>
      <c r="K56" s="1"/>
      <c r="L56" s="1"/>
      <c r="M56" s="1"/>
    </row>
    <row r="57" spans="5:20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R59" s="1"/>
    </row>
    <row r="60" spans="5:20" x14ac:dyDescent="0.3">
      <c r="E60" s="1"/>
      <c r="F60" s="1"/>
      <c r="G60" s="1"/>
      <c r="I60" s="1"/>
      <c r="J60" s="1"/>
      <c r="K60" s="1"/>
      <c r="L60" s="1"/>
      <c r="N60" s="1"/>
      <c r="R60" s="1"/>
    </row>
    <row r="61" spans="5:20" x14ac:dyDescent="0.3">
      <c r="E61" s="1"/>
      <c r="F61" s="1"/>
      <c r="G61" s="1"/>
      <c r="I61" s="1"/>
      <c r="J61" s="1"/>
      <c r="K61" s="1"/>
      <c r="L61" s="1"/>
      <c r="N61" s="1"/>
      <c r="R61" s="1"/>
    </row>
    <row r="62" spans="5:20" x14ac:dyDescent="0.3">
      <c r="E62" s="1"/>
      <c r="F62" s="1"/>
      <c r="G62" s="1"/>
      <c r="I62" s="1"/>
      <c r="K62" s="1"/>
      <c r="N62" s="1"/>
      <c r="R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  <c r="N65" s="1"/>
      <c r="R65" s="1"/>
    </row>
    <row r="66" spans="5:20" x14ac:dyDescent="0.3">
      <c r="E66" s="1"/>
      <c r="F66" s="1"/>
      <c r="G66" s="1"/>
      <c r="I66" s="1"/>
      <c r="K66" s="1"/>
      <c r="N66" s="1"/>
      <c r="O66" s="1"/>
      <c r="R66" s="1"/>
      <c r="S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  <c r="N70" s="1"/>
      <c r="R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J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K77" s="1"/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J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  <c r="N83" s="1"/>
      <c r="R83" s="1"/>
    </row>
    <row r="84" spans="5:18" x14ac:dyDescent="0.3">
      <c r="E84" s="1"/>
      <c r="F84" s="1"/>
      <c r="G84" s="1"/>
      <c r="I84" s="1"/>
      <c r="K84" s="1"/>
      <c r="N84" s="1"/>
      <c r="R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  <c r="N85" s="1"/>
      <c r="R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  <c r="N88" s="1"/>
      <c r="R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J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J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J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  <c r="N100" s="1"/>
      <c r="R100" s="1"/>
    </row>
    <row r="101" spans="5:20" x14ac:dyDescent="0.3">
      <c r="E101" s="1"/>
      <c r="F101" s="1"/>
      <c r="G101" s="1"/>
      <c r="I101" s="1"/>
      <c r="J101" s="1"/>
      <c r="K101" s="1"/>
      <c r="N101" s="1"/>
      <c r="R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  <c r="N103" s="1"/>
      <c r="R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  <c r="N105" s="1"/>
      <c r="R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  <c r="N107" s="1"/>
      <c r="R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J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J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  <c r="N120" s="1"/>
      <c r="R120" s="1"/>
    </row>
    <row r="121" spans="5:20" x14ac:dyDescent="0.3">
      <c r="E121" s="1"/>
      <c r="F121" s="1"/>
      <c r="G121" s="1"/>
      <c r="H121" s="1"/>
      <c r="I121" s="1"/>
      <c r="K121" s="1"/>
      <c r="M121" s="1"/>
      <c r="N121" s="1"/>
      <c r="R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  <c r="N122" s="1"/>
      <c r="R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J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J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J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J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J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  <c r="N138" s="1"/>
      <c r="R138" s="1"/>
    </row>
    <row r="139" spans="5:20" x14ac:dyDescent="0.3">
      <c r="E139" s="1"/>
      <c r="F139" s="1"/>
      <c r="G139" s="1"/>
      <c r="H139" s="1"/>
      <c r="I139" s="1"/>
      <c r="K139" s="1"/>
      <c r="M139" s="1"/>
      <c r="N139" s="1"/>
      <c r="R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  <c r="N140" s="1"/>
      <c r="R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J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J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J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J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  <c r="N156" s="1"/>
      <c r="R156" s="1"/>
    </row>
    <row r="157" spans="5:20" x14ac:dyDescent="0.3">
      <c r="E157" s="1"/>
      <c r="F157" s="1"/>
      <c r="G157" s="1"/>
      <c r="I157" s="1"/>
      <c r="J157" s="1"/>
      <c r="K157" s="1"/>
      <c r="N157" s="1"/>
      <c r="R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E162" s="1"/>
      <c r="F162" s="1"/>
      <c r="G162" s="1"/>
      <c r="I162" s="1"/>
      <c r="J162" s="1"/>
      <c r="K162" s="1"/>
    </row>
    <row r="163" spans="5:18" x14ac:dyDescent="0.3">
      <c r="E163" s="1"/>
      <c r="F163" s="1"/>
      <c r="G163" s="1"/>
      <c r="I163" s="1"/>
      <c r="J163" s="1"/>
      <c r="K163" s="1"/>
      <c r="N163" s="1"/>
      <c r="R163" s="1"/>
    </row>
    <row r="164" spans="5:18" x14ac:dyDescent="0.3">
      <c r="E164" s="1"/>
      <c r="F164" s="1"/>
      <c r="G164" s="1"/>
      <c r="I164" s="1"/>
      <c r="J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J166" s="1"/>
      <c r="K166" s="1"/>
      <c r="N166" s="1"/>
      <c r="R166" s="1"/>
    </row>
    <row r="167" spans="5:18" x14ac:dyDescent="0.3">
      <c r="E167" s="1"/>
      <c r="F167" s="1"/>
      <c r="G167" s="1"/>
      <c r="I167" s="1"/>
      <c r="J167" s="1"/>
      <c r="K167" s="1"/>
    </row>
    <row r="168" spans="5:18" x14ac:dyDescent="0.3">
      <c r="E168" s="1"/>
      <c r="F168" s="1"/>
      <c r="G168" s="1"/>
      <c r="I168" s="1"/>
      <c r="J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J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  <c r="N171" s="1"/>
      <c r="R171" s="1"/>
    </row>
    <row r="172" spans="5:18" x14ac:dyDescent="0.3">
      <c r="E172" s="1"/>
      <c r="F172" s="1"/>
      <c r="G172" s="1"/>
      <c r="I172" s="1"/>
      <c r="K172" s="1"/>
      <c r="N172" s="1"/>
      <c r="R172" s="1"/>
    </row>
    <row r="173" spans="5:18" x14ac:dyDescent="0.3">
      <c r="E173" s="1"/>
      <c r="F173" s="1"/>
      <c r="G173" s="1"/>
      <c r="I173" s="1"/>
      <c r="K173" s="1"/>
      <c r="N173" s="1"/>
      <c r="R173" s="1"/>
    </row>
    <row r="174" spans="5:18" x14ac:dyDescent="0.3">
      <c r="E174" s="1"/>
      <c r="F174" s="1"/>
      <c r="G174" s="1"/>
      <c r="I174" s="1"/>
      <c r="K174" s="1"/>
      <c r="N174" s="1"/>
      <c r="R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  <c r="N176" s="1"/>
      <c r="R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J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  <c r="N188" s="1"/>
      <c r="R188" s="1"/>
    </row>
    <row r="189" spans="5:18" x14ac:dyDescent="0.3">
      <c r="E189" s="1"/>
      <c r="F189" s="1"/>
      <c r="G189" s="1"/>
      <c r="I189" s="1"/>
      <c r="K189" s="1"/>
      <c r="N189" s="1"/>
      <c r="R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  <c r="N191" s="1"/>
      <c r="R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  <c r="N193" s="1"/>
      <c r="R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  <c r="N197" s="1"/>
      <c r="R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  <c r="N206" s="1"/>
      <c r="R206" s="1"/>
    </row>
    <row r="207" spans="5:18" x14ac:dyDescent="0.3">
      <c r="E207" s="1"/>
      <c r="F207" s="1"/>
      <c r="G207" s="1"/>
      <c r="I207" s="1"/>
      <c r="K207" s="1"/>
      <c r="N207" s="1"/>
      <c r="R207" s="1"/>
    </row>
    <row r="208" spans="5:18" x14ac:dyDescent="0.3">
      <c r="E208" s="1"/>
      <c r="F208" s="1"/>
      <c r="G208" s="1"/>
      <c r="I208" s="1"/>
      <c r="K208" s="1"/>
      <c r="N208" s="1"/>
      <c r="R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  <c r="N211" s="1"/>
      <c r="R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J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F220" s="1"/>
      <c r="G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G224" s="1"/>
      <c r="I224" s="1"/>
      <c r="K224" s="1"/>
    </row>
    <row r="225" spans="5:18" x14ac:dyDescent="0.3">
      <c r="E225" s="1"/>
      <c r="F225" s="1"/>
      <c r="G225" s="1"/>
      <c r="I225" s="1"/>
      <c r="K225" s="1"/>
      <c r="N225" s="1"/>
      <c r="R225" s="1"/>
    </row>
    <row r="226" spans="5:18" x14ac:dyDescent="0.3">
      <c r="E226" s="1"/>
      <c r="F226" s="1"/>
      <c r="G226" s="1"/>
      <c r="I226" s="1"/>
      <c r="K226" s="1"/>
    </row>
    <row r="227" spans="5:18" x14ac:dyDescent="0.3">
      <c r="E227" s="1"/>
      <c r="F227" s="1"/>
      <c r="G227" s="1"/>
      <c r="I227" s="1"/>
      <c r="K227" s="1"/>
      <c r="N227" s="1"/>
      <c r="R227" s="1"/>
    </row>
    <row r="228" spans="5:18" x14ac:dyDescent="0.3">
      <c r="E228" s="1"/>
      <c r="F228" s="1"/>
      <c r="I228" s="1"/>
      <c r="K228" s="1"/>
    </row>
    <row r="229" spans="5:18" x14ac:dyDescent="0.3">
      <c r="E229" s="1"/>
      <c r="F229" s="1"/>
      <c r="G229" s="1"/>
      <c r="I229" s="1"/>
      <c r="K229" s="1"/>
      <c r="N229" s="1"/>
      <c r="R229" s="1"/>
    </row>
    <row r="230" spans="5:18" x14ac:dyDescent="0.3">
      <c r="E230" s="1"/>
      <c r="F230" s="1"/>
      <c r="G230" s="1"/>
      <c r="I230" s="1"/>
      <c r="K230" s="1"/>
      <c r="N230" s="1"/>
      <c r="R230" s="1"/>
    </row>
    <row r="231" spans="5:18" x14ac:dyDescent="0.3">
      <c r="E231" s="1"/>
      <c r="F231" s="1"/>
      <c r="G231" s="1"/>
      <c r="I231" s="1"/>
      <c r="K231" s="1"/>
    </row>
    <row r="232" spans="5:18" x14ac:dyDescent="0.3">
      <c r="E232" s="1"/>
      <c r="F232" s="1"/>
      <c r="G232" s="1"/>
      <c r="I232" s="1"/>
      <c r="K232" s="1"/>
      <c r="N232" s="1"/>
      <c r="R232" s="1"/>
    </row>
    <row r="233" spans="5:18" x14ac:dyDescent="0.3">
      <c r="E233" s="1"/>
      <c r="F233" s="1"/>
      <c r="G233" s="1"/>
      <c r="I233" s="1"/>
      <c r="J233" s="1"/>
      <c r="K233" s="1"/>
    </row>
    <row r="234" spans="5:18" x14ac:dyDescent="0.3">
      <c r="E234" s="1"/>
      <c r="F234" s="1"/>
      <c r="G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E239" s="1"/>
      <c r="F239" s="1"/>
      <c r="G239" s="1"/>
      <c r="I239" s="1"/>
      <c r="K239" s="1"/>
    </row>
    <row r="240" spans="5:18" x14ac:dyDescent="0.3">
      <c r="E240" s="1"/>
      <c r="F240" s="1"/>
      <c r="G240" s="1"/>
      <c r="I240" s="1"/>
      <c r="K240" s="1"/>
      <c r="N240" s="1"/>
      <c r="R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  <c r="N243" s="1"/>
      <c r="R243" s="1"/>
    </row>
    <row r="244" spans="5:18" x14ac:dyDescent="0.3">
      <c r="E244" s="1"/>
      <c r="F244" s="1"/>
      <c r="G244" s="1"/>
      <c r="I244" s="1"/>
      <c r="K244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  <c r="N249" s="1"/>
      <c r="R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E257" s="1"/>
      <c r="F257" s="1"/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1" spans="5:18" x14ac:dyDescent="0.3">
      <c r="E261" s="1"/>
      <c r="F261" s="1"/>
      <c r="G261" s="1"/>
      <c r="I261" s="1"/>
      <c r="K261" s="1"/>
    </row>
    <row r="262" spans="5:18" x14ac:dyDescent="0.3">
      <c r="E262" s="1"/>
      <c r="F262" s="1"/>
      <c r="G262" s="1"/>
      <c r="I262" s="1"/>
      <c r="K262" s="1"/>
    </row>
    <row r="263" spans="5:18" x14ac:dyDescent="0.3">
      <c r="E263" s="1"/>
      <c r="F263" s="1"/>
      <c r="G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68" spans="5:18" x14ac:dyDescent="0.3">
      <c r="N268" s="1"/>
      <c r="R268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  <c r="N299" s="1"/>
      <c r="R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4" spans="5:18" x14ac:dyDescent="0.3">
      <c r="E304" s="1"/>
      <c r="F304" s="1"/>
      <c r="G304" s="1"/>
      <c r="I304" s="1"/>
      <c r="K304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J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  <c r="N316" s="1"/>
      <c r="R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1" spans="5:18" x14ac:dyDescent="0.3">
      <c r="E321" s="1"/>
      <c r="F321" s="1"/>
      <c r="G321" s="1"/>
      <c r="I321" s="1"/>
      <c r="K321" s="1"/>
    </row>
    <row r="322" spans="5:18" x14ac:dyDescent="0.3">
      <c r="E322" s="1"/>
      <c r="F322" s="1"/>
      <c r="G322" s="1"/>
      <c r="I322" s="1"/>
      <c r="K322" s="1"/>
      <c r="N322" s="1"/>
      <c r="R322" s="1"/>
    </row>
    <row r="323" spans="5:18" x14ac:dyDescent="0.3">
      <c r="E323" s="1"/>
      <c r="F323" s="1"/>
      <c r="G323" s="1"/>
      <c r="I323" s="1"/>
      <c r="K323" s="1"/>
    </row>
    <row r="324" spans="5:18" x14ac:dyDescent="0.3">
      <c r="E324" s="1"/>
      <c r="F324" s="1"/>
      <c r="G324" s="1"/>
      <c r="I324" s="1"/>
      <c r="K324" s="1"/>
    </row>
    <row r="325" spans="5:18" x14ac:dyDescent="0.3">
      <c r="E325" s="1"/>
      <c r="F325" s="1"/>
      <c r="G325" s="1"/>
      <c r="I325" s="1"/>
      <c r="J325" s="1"/>
      <c r="K325" s="1"/>
    </row>
    <row r="326" spans="5:18" x14ac:dyDescent="0.3">
      <c r="E326" s="1"/>
      <c r="F326" s="1"/>
      <c r="G326" s="1"/>
      <c r="I326" s="1"/>
      <c r="K326" s="1"/>
    </row>
    <row r="327" spans="5:18" x14ac:dyDescent="0.3">
      <c r="E327" s="1"/>
      <c r="F327" s="1"/>
      <c r="G327" s="1"/>
      <c r="I327" s="1"/>
      <c r="K327" s="1"/>
    </row>
    <row r="328" spans="5:18" x14ac:dyDescent="0.3">
      <c r="E328" s="1"/>
      <c r="F328" s="1"/>
      <c r="G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4" spans="5:18" x14ac:dyDescent="0.3">
      <c r="N334" s="1"/>
      <c r="R334" s="1"/>
    </row>
    <row r="337" spans="5:18" x14ac:dyDescent="0.3">
      <c r="N337" s="1"/>
      <c r="R337" s="1"/>
    </row>
    <row r="339" spans="5:18" x14ac:dyDescent="0.3">
      <c r="E339" s="1"/>
      <c r="F339" s="1"/>
      <c r="G339" s="1"/>
      <c r="I339" s="1"/>
      <c r="K339" s="1"/>
    </row>
    <row r="340" spans="5:18" x14ac:dyDescent="0.3">
      <c r="E340" s="1"/>
      <c r="F340" s="1"/>
      <c r="I340" s="1"/>
      <c r="K340" s="1"/>
    </row>
    <row r="341" spans="5:18" x14ac:dyDescent="0.3">
      <c r="E341" s="1"/>
      <c r="F341" s="1"/>
      <c r="G341" s="1"/>
      <c r="I341" s="1"/>
      <c r="K341" s="1"/>
    </row>
    <row r="342" spans="5:18" x14ac:dyDescent="0.3">
      <c r="E342" s="1"/>
      <c r="F342" s="1"/>
      <c r="G342" s="1"/>
      <c r="I342" s="1"/>
      <c r="K342" s="1"/>
    </row>
    <row r="343" spans="5:18" x14ac:dyDescent="0.3">
      <c r="E343" s="1"/>
      <c r="F343" s="1"/>
      <c r="G343" s="1"/>
      <c r="I343" s="1"/>
      <c r="K343" s="1"/>
    </row>
    <row r="344" spans="5:18" x14ac:dyDescent="0.3">
      <c r="E344" s="1"/>
      <c r="F344" s="1"/>
      <c r="G344" s="1"/>
      <c r="I344" s="1"/>
      <c r="K344" s="1"/>
    </row>
    <row r="345" spans="5:18" x14ac:dyDescent="0.3">
      <c r="E345" s="1"/>
      <c r="F345" s="1"/>
      <c r="G345" s="1"/>
      <c r="I345" s="1"/>
      <c r="K345" s="1"/>
    </row>
    <row r="346" spans="5:18" x14ac:dyDescent="0.3">
      <c r="E346" s="1"/>
      <c r="F346" s="1"/>
      <c r="G346" s="1"/>
      <c r="I346" s="1"/>
      <c r="K346" s="1"/>
    </row>
    <row r="347" spans="5:18" x14ac:dyDescent="0.3">
      <c r="E347" s="1"/>
      <c r="F347" s="1"/>
      <c r="G347" s="1"/>
      <c r="I347" s="1"/>
      <c r="K347" s="1"/>
    </row>
    <row r="351" spans="5:18" x14ac:dyDescent="0.3">
      <c r="N351" s="1"/>
      <c r="R351" s="1"/>
    </row>
    <row r="352" spans="5:18" x14ac:dyDescent="0.3">
      <c r="N352" s="1"/>
      <c r="R352" s="1"/>
    </row>
  </sheetData>
  <sheetProtection algorithmName="SHA-512" hashValue="OR3vzES401SbNXU7948+DLzKi8VEQ/Hsv4EHrBZKg778/ckEMMxixKsW6lCpVML9Q+OB490uAh6OF9YAOZLqQw==" saltValue="xGeyX5q3tTtKXu4zFQCYyA==" spinCount="100000" sheet="1" objects="1" scenarios="1"/>
  <pageMargins left="0.7" right="0.7" top="0.75" bottom="0.75" header="0.3" footer="0.3"/>
  <pageSetup paperSize="1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showRowColHeaders="0" zoomScaleNormal="100" workbookViewId="0">
      <selection activeCell="E6" sqref="E6"/>
    </sheetView>
  </sheetViews>
  <sheetFormatPr baseColWidth="10" defaultColWidth="11.109375" defaultRowHeight="14.4" x14ac:dyDescent="0.3"/>
  <cols>
    <col min="1" max="1" width="8.44140625" style="13" customWidth="1"/>
    <col min="2" max="2" width="5" style="13" hidden="1" customWidth="1"/>
    <col min="3" max="3" width="6.109375" style="13" hidden="1" customWidth="1"/>
    <col min="4" max="4" width="7.88671875" style="13" customWidth="1"/>
    <col min="5" max="5" width="44.88671875" style="13" customWidth="1"/>
    <col min="6" max="6" width="6.88671875" style="14" customWidth="1"/>
    <col min="7" max="7" width="2.5546875" style="13" customWidth="1"/>
    <col min="8" max="8" width="6.109375" style="13" hidden="1" customWidth="1"/>
    <col min="9" max="9" width="1.44140625" style="13" customWidth="1"/>
    <col min="10" max="16384" width="11.109375" style="13"/>
  </cols>
  <sheetData>
    <row r="1" spans="2:8" ht="37.5" customHeight="1" thickBot="1" x14ac:dyDescent="0.35"/>
    <row r="2" spans="2:8" ht="15" customHeight="1" thickBot="1" x14ac:dyDescent="0.35">
      <c r="B2" s="12"/>
      <c r="C2" s="12"/>
      <c r="D2" s="188" t="s">
        <v>119</v>
      </c>
      <c r="E2" s="189"/>
      <c r="F2" s="190"/>
      <c r="H2" s="12"/>
    </row>
    <row r="3" spans="2:8" ht="15" customHeight="1" thickBot="1" x14ac:dyDescent="0.35">
      <c r="B3" s="12"/>
      <c r="C3" s="12"/>
      <c r="D3" s="11" t="s">
        <v>48</v>
      </c>
      <c r="E3" s="84" t="s">
        <v>49</v>
      </c>
      <c r="F3" s="11" t="s">
        <v>50</v>
      </c>
      <c r="H3" s="12"/>
    </row>
    <row r="4" spans="2:8" ht="15" customHeight="1" x14ac:dyDescent="0.3">
      <c r="B4" s="12"/>
      <c r="C4" s="7" t="e">
        <f>D$2&amp;#REF!</f>
        <v>#REF!</v>
      </c>
      <c r="D4" s="15" t="s">
        <v>263</v>
      </c>
      <c r="E4" s="16" t="s">
        <v>272</v>
      </c>
      <c r="F4" s="15">
        <v>3</v>
      </c>
      <c r="H4" s="7" t="e">
        <f>#REF!&amp;#REF!</f>
        <v>#REF!</v>
      </c>
    </row>
    <row r="5" spans="2:8" ht="15" customHeight="1" x14ac:dyDescent="0.3">
      <c r="B5" s="12"/>
      <c r="C5" s="8" t="e">
        <f>D$2&amp;#REF!</f>
        <v>#REF!</v>
      </c>
      <c r="D5" s="15" t="s">
        <v>264</v>
      </c>
      <c r="E5" s="16" t="s">
        <v>273</v>
      </c>
      <c r="F5" s="15">
        <v>3</v>
      </c>
      <c r="H5" s="8" t="e">
        <f>#REF!&amp;#REF!</f>
        <v>#REF!</v>
      </c>
    </row>
    <row r="6" spans="2:8" ht="15" customHeight="1" x14ac:dyDescent="0.3">
      <c r="B6" s="12"/>
      <c r="C6" s="8" t="e">
        <f>D$2&amp;#REF!</f>
        <v>#REF!</v>
      </c>
      <c r="D6" s="15"/>
      <c r="E6" s="16"/>
      <c r="F6" s="15"/>
      <c r="H6" s="8" t="e">
        <f>#REF!&amp;#REF!</f>
        <v>#REF!</v>
      </c>
    </row>
    <row r="7" spans="2:8" ht="15" customHeight="1" x14ac:dyDescent="0.3">
      <c r="B7" s="12"/>
      <c r="C7" s="8" t="e">
        <f>D$2&amp;#REF!</f>
        <v>#REF!</v>
      </c>
      <c r="D7" s="15"/>
      <c r="E7" s="16"/>
      <c r="F7" s="15"/>
      <c r="H7" s="8" t="e">
        <f>#REF!&amp;#REF!</f>
        <v>#REF!</v>
      </c>
    </row>
    <row r="8" spans="2:8" ht="15" customHeight="1" x14ac:dyDescent="0.3">
      <c r="B8" s="12"/>
      <c r="C8" s="8" t="e">
        <f>D$2&amp;#REF!</f>
        <v>#REF!</v>
      </c>
      <c r="D8" s="15"/>
      <c r="E8" s="16"/>
      <c r="F8" s="15"/>
      <c r="H8" s="8" t="e">
        <f>#REF!&amp;#REF!</f>
        <v>#REF!</v>
      </c>
    </row>
    <row r="9" spans="2:8" ht="15" customHeight="1" x14ac:dyDescent="0.3">
      <c r="B9" s="12"/>
      <c r="C9" s="8" t="e">
        <f>D$2&amp;#REF!</f>
        <v>#REF!</v>
      </c>
      <c r="D9" s="15"/>
      <c r="E9" s="16"/>
      <c r="F9" s="15"/>
      <c r="H9" s="8" t="e">
        <f>#REF!&amp;#REF!</f>
        <v>#REF!</v>
      </c>
    </row>
    <row r="10" spans="2:8" ht="15" customHeight="1" x14ac:dyDescent="0.3">
      <c r="B10" s="12"/>
      <c r="C10" s="8" t="e">
        <f>D$2&amp;#REF!</f>
        <v>#REF!</v>
      </c>
      <c r="D10" s="15"/>
      <c r="E10" s="16"/>
      <c r="F10" s="15"/>
      <c r="H10" s="8" t="e">
        <f>#REF!&amp;#REF!</f>
        <v>#REF!</v>
      </c>
    </row>
    <row r="11" spans="2:8" ht="15" customHeight="1" x14ac:dyDescent="0.3">
      <c r="B11" s="12"/>
      <c r="C11" s="8" t="e">
        <f>D$2&amp;#REF!</f>
        <v>#REF!</v>
      </c>
      <c r="D11" s="15"/>
      <c r="E11" s="16"/>
      <c r="F11" s="15"/>
      <c r="H11" s="8" t="e">
        <f>#REF!&amp;#REF!</f>
        <v>#REF!</v>
      </c>
    </row>
    <row r="12" spans="2:8" ht="15" customHeight="1" x14ac:dyDescent="0.3">
      <c r="B12" s="12"/>
      <c r="C12" s="8" t="e">
        <f>D$2&amp;#REF!</f>
        <v>#REF!</v>
      </c>
      <c r="D12" s="15"/>
      <c r="E12" s="16"/>
      <c r="F12" s="15"/>
      <c r="H12" s="8" t="e">
        <f>#REF!&amp;#REF!</f>
        <v>#REF!</v>
      </c>
    </row>
    <row r="13" spans="2:8" ht="15" customHeight="1" thickBot="1" x14ac:dyDescent="0.35">
      <c r="B13" s="12"/>
      <c r="C13" s="9" t="e">
        <f>D$2&amp;#REF!</f>
        <v>#REF!</v>
      </c>
      <c r="D13" s="17"/>
      <c r="E13" s="18"/>
      <c r="F13" s="17"/>
      <c r="H13" s="9" t="e">
        <f>#REF!&amp;#REF!</f>
        <v>#REF!</v>
      </c>
    </row>
    <row r="14" spans="2:8" ht="15" customHeight="1" x14ac:dyDescent="0.3"/>
  </sheetData>
  <sheetProtection algorithmName="SHA-512" hashValue="u9JSXnl5t/xQ7evdxcY7lDAxZKCNf4ojKGhwC6HLnqHLMgkUKsi9TGbR3lHQtMsu3WLMwI5pLFuCynw9OCN8FQ==" saltValue="yfHSQ2iKtq8zDgjWMDSJ7w==" spinCount="100000"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167640</xdr:rowOff>
              </from>
              <to>
                <xdr:col>11</xdr:col>
                <xdr:colOff>167640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33"/>
  <sheetViews>
    <sheetView showGridLines="0" zoomScale="115" zoomScaleNormal="115" workbookViewId="0">
      <pane ySplit="1" topLeftCell="A31" activePane="bottomLeft" state="frozen"/>
      <selection pane="bottomLeft" activeCell="A80" sqref="A80"/>
    </sheetView>
  </sheetViews>
  <sheetFormatPr baseColWidth="10" defaultColWidth="11.109375" defaultRowHeight="14.4" x14ac:dyDescent="0.3"/>
  <cols>
    <col min="1" max="1" width="10.44140625" style="32" customWidth="1"/>
    <col min="2" max="2" width="30.88671875" style="28" customWidth="1"/>
    <col min="3" max="3" width="10.44140625" style="32" customWidth="1"/>
    <col min="4" max="4" width="1.88671875" style="32" customWidth="1"/>
    <col min="5" max="5" width="10.44140625" style="32" customWidth="1"/>
    <col min="6" max="6" width="30.88671875" style="28" customWidth="1"/>
    <col min="7" max="7" width="1.88671875" style="32" customWidth="1"/>
    <col min="8" max="8" width="10.44140625" style="32" customWidth="1"/>
    <col min="9" max="9" width="34.109375" style="28" customWidth="1"/>
    <col min="10" max="16384" width="11.109375" style="28"/>
  </cols>
  <sheetData>
    <row r="1" spans="1:9" x14ac:dyDescent="0.3">
      <c r="A1" s="10" t="s">
        <v>51</v>
      </c>
      <c r="B1" s="6" t="s">
        <v>49</v>
      </c>
      <c r="C1" s="10"/>
      <c r="D1" s="54"/>
      <c r="E1" s="10" t="s">
        <v>51</v>
      </c>
      <c r="F1" s="27" t="s">
        <v>49</v>
      </c>
      <c r="G1" s="54"/>
      <c r="H1" s="10" t="s">
        <v>51</v>
      </c>
      <c r="I1" s="27" t="s">
        <v>49</v>
      </c>
    </row>
    <row r="2" spans="1:9" x14ac:dyDescent="0.3">
      <c r="A2" s="29" t="s">
        <v>54</v>
      </c>
      <c r="B2" s="31" t="s">
        <v>40</v>
      </c>
      <c r="C2" s="29"/>
      <c r="D2" s="59"/>
      <c r="E2" s="29" t="s">
        <v>39</v>
      </c>
      <c r="F2" s="31" t="s">
        <v>52</v>
      </c>
      <c r="G2" s="59"/>
      <c r="H2" s="29" t="s">
        <v>53</v>
      </c>
      <c r="I2" s="31" t="s">
        <v>52</v>
      </c>
    </row>
    <row r="3" spans="1:9" x14ac:dyDescent="0.3">
      <c r="A3" s="29" t="s">
        <v>41</v>
      </c>
      <c r="B3" s="30" t="s">
        <v>42</v>
      </c>
      <c r="C3" s="29"/>
      <c r="D3" s="59"/>
      <c r="E3" s="29"/>
      <c r="F3" s="31"/>
      <c r="G3" s="59"/>
      <c r="H3" s="29"/>
      <c r="I3" s="31"/>
    </row>
    <row r="4" spans="1:9" x14ac:dyDescent="0.3">
      <c r="A4" s="29" t="s">
        <v>17</v>
      </c>
      <c r="B4" s="30" t="s">
        <v>55</v>
      </c>
      <c r="C4" s="29"/>
      <c r="D4" s="59"/>
      <c r="E4" s="29"/>
      <c r="F4" s="31"/>
      <c r="G4" s="59"/>
      <c r="H4" s="29"/>
      <c r="I4" s="31"/>
    </row>
    <row r="5" spans="1:9" x14ac:dyDescent="0.3">
      <c r="A5" s="29" t="s">
        <v>24</v>
      </c>
      <c r="B5" s="30" t="s">
        <v>56</v>
      </c>
      <c r="C5" s="29"/>
      <c r="D5" s="59"/>
      <c r="E5" s="29"/>
      <c r="F5" s="31"/>
      <c r="G5" s="59"/>
      <c r="H5" s="29"/>
      <c r="I5" s="31"/>
    </row>
    <row r="6" spans="1:9" x14ac:dyDescent="0.3">
      <c r="A6" s="29" t="s">
        <v>18</v>
      </c>
      <c r="B6" s="31" t="s">
        <v>57</v>
      </c>
      <c r="C6" s="29"/>
      <c r="D6" s="59"/>
      <c r="E6" s="29" t="s">
        <v>58</v>
      </c>
      <c r="F6" s="30" t="s">
        <v>59</v>
      </c>
      <c r="G6" s="59"/>
      <c r="H6" s="29"/>
      <c r="I6" s="30"/>
    </row>
    <row r="7" spans="1:9" x14ac:dyDescent="0.3">
      <c r="A7" s="29" t="s">
        <v>19</v>
      </c>
      <c r="B7" s="31" t="s">
        <v>60</v>
      </c>
      <c r="C7" s="29"/>
      <c r="D7" s="59"/>
      <c r="E7" s="29" t="s">
        <v>61</v>
      </c>
      <c r="F7" s="30" t="s">
        <v>62</v>
      </c>
      <c r="G7" s="59"/>
      <c r="H7" s="29"/>
      <c r="I7" s="30"/>
    </row>
    <row r="8" spans="1:9" x14ac:dyDescent="0.3">
      <c r="A8" s="29" t="s">
        <v>25</v>
      </c>
      <c r="B8" s="31" t="s">
        <v>63</v>
      </c>
      <c r="C8" s="29"/>
      <c r="D8" s="59"/>
      <c r="E8" s="29"/>
      <c r="F8" s="31"/>
      <c r="G8" s="59"/>
      <c r="H8" s="29"/>
      <c r="I8" s="31"/>
    </row>
    <row r="9" spans="1:9" x14ac:dyDescent="0.3">
      <c r="A9" s="29" t="s">
        <v>28</v>
      </c>
      <c r="B9" s="30" t="s">
        <v>64</v>
      </c>
      <c r="C9" s="29"/>
      <c r="D9" s="59"/>
      <c r="E9" s="29"/>
      <c r="F9" s="31"/>
      <c r="G9" s="59"/>
      <c r="H9" s="29"/>
      <c r="I9" s="31"/>
    </row>
    <row r="10" spans="1:9" x14ac:dyDescent="0.3">
      <c r="A10" s="29" t="s">
        <v>29</v>
      </c>
      <c r="B10" s="30" t="s">
        <v>30</v>
      </c>
      <c r="C10" s="29"/>
      <c r="D10" s="59"/>
      <c r="E10" s="29" t="s">
        <v>67</v>
      </c>
      <c r="F10" s="31" t="s">
        <v>66</v>
      </c>
      <c r="G10" s="59"/>
      <c r="H10" s="29" t="s">
        <v>65</v>
      </c>
      <c r="I10" s="31" t="s">
        <v>66</v>
      </c>
    </row>
    <row r="11" spans="1:9" x14ac:dyDescent="0.3">
      <c r="A11" s="29" t="s">
        <v>27</v>
      </c>
      <c r="B11" s="31" t="s">
        <v>68</v>
      </c>
      <c r="C11" s="29"/>
      <c r="D11" s="59"/>
      <c r="E11" s="29" t="s">
        <v>69</v>
      </c>
      <c r="F11" s="30" t="s">
        <v>68</v>
      </c>
      <c r="G11" s="59"/>
      <c r="H11" s="29"/>
      <c r="I11" s="31"/>
    </row>
    <row r="12" spans="1:9" x14ac:dyDescent="0.3">
      <c r="A12" s="29" t="s">
        <v>70</v>
      </c>
      <c r="B12" s="30" t="s">
        <v>71</v>
      </c>
      <c r="C12" s="29"/>
      <c r="D12" s="59"/>
      <c r="E12" s="29" t="s">
        <v>72</v>
      </c>
      <c r="F12" s="31" t="s">
        <v>71</v>
      </c>
      <c r="G12" s="59"/>
      <c r="H12" s="29"/>
      <c r="I12" s="31"/>
    </row>
    <row r="13" spans="1:9" x14ac:dyDescent="0.3">
      <c r="A13" s="29" t="s">
        <v>73</v>
      </c>
      <c r="B13" s="30" t="s">
        <v>74</v>
      </c>
      <c r="C13" s="29"/>
      <c r="D13" s="59"/>
      <c r="E13" s="29"/>
      <c r="F13" s="31"/>
      <c r="G13" s="59"/>
      <c r="H13" s="29"/>
      <c r="I13" s="31"/>
    </row>
    <row r="14" spans="1:9" x14ac:dyDescent="0.3">
      <c r="A14" s="29" t="s">
        <v>75</v>
      </c>
      <c r="B14" s="30" t="s">
        <v>76</v>
      </c>
      <c r="C14" s="29"/>
      <c r="D14" s="59"/>
      <c r="E14" s="29"/>
      <c r="F14" s="31"/>
      <c r="G14" s="59"/>
      <c r="H14" s="29"/>
      <c r="I14" s="31"/>
    </row>
    <row r="15" spans="1:9" x14ac:dyDescent="0.3">
      <c r="A15" s="29" t="s">
        <v>90</v>
      </c>
      <c r="B15" s="30" t="s">
        <v>91</v>
      </c>
      <c r="C15" s="29"/>
      <c r="D15" s="59"/>
      <c r="E15" s="29" t="s">
        <v>92</v>
      </c>
      <c r="F15" s="31" t="s">
        <v>93</v>
      </c>
      <c r="G15" s="59"/>
      <c r="H15" s="29" t="s">
        <v>82</v>
      </c>
      <c r="I15" s="31" t="s">
        <v>83</v>
      </c>
    </row>
    <row r="16" spans="1:9" x14ac:dyDescent="0.3">
      <c r="A16" s="29" t="s">
        <v>31</v>
      </c>
      <c r="B16" s="30" t="s">
        <v>94</v>
      </c>
      <c r="C16" s="29"/>
      <c r="D16" s="59"/>
      <c r="E16" s="29" t="s">
        <v>95</v>
      </c>
      <c r="F16" s="31" t="s">
        <v>32</v>
      </c>
      <c r="G16" s="59"/>
      <c r="H16" s="29" t="s">
        <v>96</v>
      </c>
      <c r="I16" s="31" t="s">
        <v>32</v>
      </c>
    </row>
    <row r="17" spans="1:9" x14ac:dyDescent="0.3">
      <c r="A17" s="29" t="s">
        <v>34</v>
      </c>
      <c r="B17" s="30" t="s">
        <v>97</v>
      </c>
      <c r="C17" s="29"/>
      <c r="D17" s="59"/>
      <c r="E17" s="29"/>
      <c r="F17" s="31"/>
      <c r="G17" s="59"/>
      <c r="H17" s="29"/>
      <c r="I17" s="31"/>
    </row>
    <row r="18" spans="1:9" x14ac:dyDescent="0.3">
      <c r="A18" s="29" t="s">
        <v>35</v>
      </c>
      <c r="B18" s="30" t="s">
        <v>36</v>
      </c>
      <c r="C18" s="29"/>
      <c r="D18" s="59"/>
      <c r="E18" s="29" t="s">
        <v>98</v>
      </c>
      <c r="F18" s="31" t="s">
        <v>99</v>
      </c>
      <c r="G18" s="59"/>
      <c r="H18" s="29"/>
      <c r="I18" s="31"/>
    </row>
    <row r="19" spans="1:9" x14ac:dyDescent="0.3">
      <c r="A19" s="29" t="s">
        <v>37</v>
      </c>
      <c r="B19" s="30" t="s">
        <v>38</v>
      </c>
      <c r="C19" s="29"/>
      <c r="D19" s="59"/>
      <c r="E19" s="29" t="s">
        <v>100</v>
      </c>
      <c r="F19" s="31" t="s">
        <v>101</v>
      </c>
      <c r="G19" s="59"/>
      <c r="H19" s="29"/>
      <c r="I19" s="31"/>
    </row>
    <row r="20" spans="1:9" x14ac:dyDescent="0.3">
      <c r="A20" s="29" t="s">
        <v>102</v>
      </c>
      <c r="B20" s="30" t="s">
        <v>103</v>
      </c>
      <c r="C20" s="29"/>
      <c r="D20" s="59"/>
      <c r="E20" s="29"/>
      <c r="F20" s="31"/>
      <c r="G20" s="59"/>
      <c r="H20" s="29"/>
      <c r="I20" s="31"/>
    </row>
    <row r="21" spans="1:9" x14ac:dyDescent="0.3">
      <c r="A21" s="29" t="s">
        <v>104</v>
      </c>
      <c r="B21" s="30" t="s">
        <v>105</v>
      </c>
      <c r="C21" s="29"/>
      <c r="D21" s="59"/>
      <c r="E21" s="29"/>
      <c r="F21" s="31"/>
      <c r="G21" s="59"/>
      <c r="H21" s="29"/>
      <c r="I21" s="31"/>
    </row>
    <row r="22" spans="1:9" x14ac:dyDescent="0.3">
      <c r="A22" s="29" t="s">
        <v>43</v>
      </c>
      <c r="B22" s="30" t="s">
        <v>109</v>
      </c>
      <c r="C22" s="29"/>
      <c r="D22" s="59"/>
      <c r="E22" s="29" t="s">
        <v>108</v>
      </c>
      <c r="F22" s="31" t="s">
        <v>109</v>
      </c>
      <c r="G22" s="59"/>
      <c r="H22" s="29" t="s">
        <v>106</v>
      </c>
      <c r="I22" s="31" t="s">
        <v>107</v>
      </c>
    </row>
    <row r="23" spans="1:9" x14ac:dyDescent="0.3">
      <c r="A23" s="29" t="s">
        <v>110</v>
      </c>
      <c r="B23" s="30" t="s">
        <v>111</v>
      </c>
      <c r="C23" s="29"/>
      <c r="D23" s="59"/>
      <c r="E23" s="29" t="s">
        <v>110</v>
      </c>
      <c r="F23" s="31" t="s">
        <v>111</v>
      </c>
      <c r="G23" s="59"/>
      <c r="H23" s="29" t="s">
        <v>112</v>
      </c>
      <c r="I23" s="31" t="s">
        <v>113</v>
      </c>
    </row>
    <row r="24" spans="1:9" x14ac:dyDescent="0.3">
      <c r="A24" s="29" t="s">
        <v>115</v>
      </c>
      <c r="B24" s="31" t="s">
        <v>116</v>
      </c>
      <c r="C24" s="29"/>
      <c r="D24" s="59"/>
      <c r="E24" s="29" t="s">
        <v>44</v>
      </c>
      <c r="F24" s="31" t="s">
        <v>114</v>
      </c>
      <c r="G24" s="59"/>
      <c r="H24" s="29" t="s">
        <v>117</v>
      </c>
      <c r="I24" s="30" t="s">
        <v>116</v>
      </c>
    </row>
    <row r="25" spans="1:9" x14ac:dyDescent="0.3">
      <c r="A25" s="29" t="s">
        <v>20</v>
      </c>
      <c r="B25" s="30" t="s">
        <v>21</v>
      </c>
      <c r="C25" s="29"/>
      <c r="D25" s="59"/>
      <c r="E25" s="29"/>
      <c r="F25" s="31"/>
      <c r="G25" s="59"/>
      <c r="H25" s="29"/>
      <c r="I25" s="31"/>
    </row>
    <row r="26" spans="1:9" x14ac:dyDescent="0.3">
      <c r="A26" s="29" t="s">
        <v>22</v>
      </c>
      <c r="B26" s="30" t="s">
        <v>23</v>
      </c>
      <c r="C26" s="29"/>
      <c r="D26" s="59"/>
      <c r="E26" s="29"/>
      <c r="F26" s="31"/>
      <c r="G26" s="59"/>
      <c r="H26" s="29"/>
      <c r="I26" s="31"/>
    </row>
    <row r="27" spans="1:9" x14ac:dyDescent="0.3">
      <c r="A27" s="29" t="s">
        <v>26</v>
      </c>
      <c r="B27" s="30" t="s">
        <v>118</v>
      </c>
      <c r="C27" s="29"/>
      <c r="D27" s="59"/>
      <c r="E27" s="29"/>
      <c r="F27" s="31"/>
      <c r="G27" s="59"/>
      <c r="H27" s="29"/>
      <c r="I27" s="31"/>
    </row>
    <row r="28" spans="1:9" x14ac:dyDescent="0.3">
      <c r="A28" s="29" t="s">
        <v>120</v>
      </c>
      <c r="B28" s="58" t="s">
        <v>153</v>
      </c>
      <c r="C28" s="29"/>
      <c r="D28" s="59"/>
      <c r="E28" s="29"/>
      <c r="F28" s="31"/>
      <c r="G28" s="59"/>
      <c r="H28" s="29"/>
      <c r="I28" s="31"/>
    </row>
    <row r="29" spans="1:9" x14ac:dyDescent="0.3">
      <c r="A29" s="29" t="s">
        <v>121</v>
      </c>
      <c r="B29" s="30" t="s">
        <v>172</v>
      </c>
      <c r="C29" s="29"/>
      <c r="D29" s="59"/>
      <c r="E29" s="29"/>
      <c r="F29" s="31"/>
      <c r="G29" s="59"/>
      <c r="H29" s="29"/>
      <c r="I29" s="31"/>
    </row>
    <row r="30" spans="1:9" x14ac:dyDescent="0.3">
      <c r="A30" s="29" t="s">
        <v>122</v>
      </c>
      <c r="B30" s="30" t="s">
        <v>154</v>
      </c>
      <c r="C30" s="29"/>
      <c r="D30" s="59"/>
      <c r="E30" s="29"/>
      <c r="F30" s="31"/>
      <c r="G30" s="59"/>
      <c r="H30" s="29"/>
      <c r="I30" s="31"/>
    </row>
    <row r="31" spans="1:9" x14ac:dyDescent="0.3">
      <c r="A31" s="29" t="s">
        <v>123</v>
      </c>
      <c r="B31" s="30" t="s">
        <v>173</v>
      </c>
      <c r="C31" s="29"/>
      <c r="D31" s="59"/>
      <c r="E31" s="29"/>
      <c r="F31" s="31"/>
      <c r="G31" s="59"/>
      <c r="H31" s="29"/>
      <c r="I31" s="31"/>
    </row>
    <row r="32" spans="1:9" x14ac:dyDescent="0.3">
      <c r="A32" s="29" t="s">
        <v>124</v>
      </c>
      <c r="B32" s="30" t="s">
        <v>155</v>
      </c>
      <c r="C32" s="29"/>
      <c r="D32" s="59"/>
      <c r="E32" s="29"/>
      <c r="F32" s="31"/>
      <c r="G32" s="59"/>
      <c r="H32" s="29"/>
      <c r="I32" s="31"/>
    </row>
    <row r="33" spans="1:9" x14ac:dyDescent="0.3">
      <c r="A33" s="29" t="s">
        <v>151</v>
      </c>
      <c r="B33" s="30" t="s">
        <v>174</v>
      </c>
      <c r="C33" s="29"/>
      <c r="D33" s="59"/>
      <c r="E33" s="29" t="s">
        <v>125</v>
      </c>
      <c r="F33" s="31" t="s">
        <v>196</v>
      </c>
      <c r="G33" s="59"/>
      <c r="H33" s="29"/>
      <c r="I33" s="31"/>
    </row>
    <row r="34" spans="1:9" x14ac:dyDescent="0.3">
      <c r="A34" s="29" t="s">
        <v>126</v>
      </c>
      <c r="B34" s="30" t="s">
        <v>164</v>
      </c>
      <c r="C34" s="29"/>
      <c r="D34" s="59"/>
      <c r="E34" s="29"/>
      <c r="F34" s="31"/>
      <c r="G34" s="59"/>
      <c r="H34" s="29"/>
      <c r="I34" s="31"/>
    </row>
    <row r="35" spans="1:9" x14ac:dyDescent="0.3">
      <c r="A35" s="29" t="s">
        <v>67</v>
      </c>
      <c r="B35" s="30" t="s">
        <v>156</v>
      </c>
      <c r="C35" s="29"/>
      <c r="D35" s="59"/>
      <c r="E35" s="29"/>
      <c r="F35" s="31"/>
      <c r="G35" s="59"/>
      <c r="H35" s="29"/>
      <c r="I35" s="31"/>
    </row>
    <row r="36" spans="1:9" x14ac:dyDescent="0.3">
      <c r="A36" s="29" t="s">
        <v>127</v>
      </c>
      <c r="B36" s="30" t="s">
        <v>175</v>
      </c>
      <c r="C36" s="29"/>
      <c r="D36" s="59"/>
      <c r="E36" s="29"/>
      <c r="F36" s="31"/>
      <c r="G36" s="59"/>
      <c r="H36" s="29"/>
      <c r="I36" s="31"/>
    </row>
    <row r="37" spans="1:9" x14ac:dyDescent="0.3">
      <c r="A37" s="29" t="s">
        <v>128</v>
      </c>
      <c r="B37" s="30" t="s">
        <v>176</v>
      </c>
      <c r="C37" s="29"/>
      <c r="D37" s="59"/>
      <c r="E37" s="29"/>
      <c r="F37" s="31"/>
      <c r="G37" s="59"/>
      <c r="H37" s="29"/>
      <c r="I37" s="31"/>
    </row>
    <row r="38" spans="1:9" x14ac:dyDescent="0.3">
      <c r="A38" s="29" t="s">
        <v>129</v>
      </c>
      <c r="B38" s="30" t="s">
        <v>157</v>
      </c>
      <c r="C38" s="29"/>
      <c r="D38" s="59"/>
      <c r="E38" s="29"/>
      <c r="F38" s="31"/>
      <c r="G38" s="59"/>
      <c r="H38" s="29"/>
      <c r="I38" s="31"/>
    </row>
    <row r="39" spans="1:9" x14ac:dyDescent="0.3">
      <c r="A39" s="29" t="s">
        <v>130</v>
      </c>
      <c r="B39" s="30" t="s">
        <v>158</v>
      </c>
      <c r="C39" s="29"/>
      <c r="D39" s="59"/>
      <c r="E39" s="29" t="s">
        <v>181</v>
      </c>
      <c r="F39" s="31" t="s">
        <v>158</v>
      </c>
      <c r="G39" s="59"/>
      <c r="H39" s="29"/>
      <c r="I39" s="31"/>
    </row>
    <row r="40" spans="1:9" x14ac:dyDescent="0.3">
      <c r="A40" s="29" t="s">
        <v>131</v>
      </c>
      <c r="B40" s="30" t="s">
        <v>165</v>
      </c>
      <c r="C40" s="29"/>
      <c r="D40" s="59"/>
      <c r="E40" s="29"/>
      <c r="F40" s="31"/>
      <c r="G40" s="59"/>
      <c r="H40" s="29"/>
      <c r="I40" s="31"/>
    </row>
    <row r="41" spans="1:9" x14ac:dyDescent="0.3">
      <c r="A41" s="29" t="s">
        <v>132</v>
      </c>
      <c r="B41" s="30" t="s">
        <v>166</v>
      </c>
      <c r="C41" s="29"/>
      <c r="D41" s="59"/>
      <c r="E41" s="29"/>
      <c r="F41" s="31"/>
      <c r="G41" s="59"/>
      <c r="H41" s="29"/>
      <c r="I41" s="31"/>
    </row>
    <row r="42" spans="1:9" x14ac:dyDescent="0.3">
      <c r="A42" s="29" t="s">
        <v>133</v>
      </c>
      <c r="B42" s="30" t="s">
        <v>167</v>
      </c>
      <c r="C42" s="29"/>
      <c r="D42" s="59"/>
      <c r="E42" s="29"/>
      <c r="F42" s="31"/>
      <c r="G42" s="59"/>
      <c r="H42" s="29"/>
      <c r="I42" s="31"/>
    </row>
    <row r="43" spans="1:9" x14ac:dyDescent="0.3">
      <c r="A43" s="29" t="s">
        <v>134</v>
      </c>
      <c r="B43" s="30" t="s">
        <v>159</v>
      </c>
      <c r="C43" s="29"/>
      <c r="D43" s="59"/>
      <c r="E43" s="29" t="s">
        <v>182</v>
      </c>
      <c r="F43" s="31" t="s">
        <v>159</v>
      </c>
      <c r="G43" s="59"/>
      <c r="H43" s="29"/>
      <c r="I43" s="31"/>
    </row>
    <row r="44" spans="1:9" x14ac:dyDescent="0.3">
      <c r="A44" s="29" t="s">
        <v>135</v>
      </c>
      <c r="B44" s="30" t="s">
        <v>178</v>
      </c>
      <c r="C44" s="29"/>
      <c r="D44" s="59"/>
      <c r="E44" s="29"/>
      <c r="F44" s="31"/>
      <c r="G44" s="59"/>
      <c r="H44" s="29"/>
      <c r="I44" s="31"/>
    </row>
    <row r="45" spans="1:9" x14ac:dyDescent="0.3">
      <c r="A45" s="29" t="s">
        <v>136</v>
      </c>
      <c r="B45" s="30" t="s">
        <v>180</v>
      </c>
      <c r="C45" s="29"/>
      <c r="D45" s="59"/>
      <c r="E45" s="29"/>
      <c r="F45" s="31"/>
      <c r="G45" s="59"/>
      <c r="H45" s="29"/>
      <c r="I45" s="31"/>
    </row>
    <row r="46" spans="1:9" x14ac:dyDescent="0.3">
      <c r="A46" s="29" t="s">
        <v>137</v>
      </c>
      <c r="B46" s="30" t="s">
        <v>160</v>
      </c>
      <c r="C46" s="29"/>
      <c r="D46" s="59"/>
      <c r="E46" s="29"/>
      <c r="F46" s="31"/>
      <c r="G46" s="59"/>
      <c r="H46" s="29"/>
      <c r="I46" s="31"/>
    </row>
    <row r="47" spans="1:9" x14ac:dyDescent="0.3">
      <c r="A47" s="29" t="s">
        <v>138</v>
      </c>
      <c r="B47" s="30" t="s">
        <v>168</v>
      </c>
      <c r="C47" s="29"/>
      <c r="D47" s="59"/>
      <c r="E47" s="29"/>
      <c r="F47" s="31"/>
      <c r="G47" s="59"/>
      <c r="H47" s="29"/>
      <c r="I47" s="31"/>
    </row>
    <row r="48" spans="1:9" x14ac:dyDescent="0.3">
      <c r="A48" s="29" t="s">
        <v>139</v>
      </c>
      <c r="B48" s="30" t="s">
        <v>161</v>
      </c>
      <c r="C48" s="29"/>
      <c r="D48" s="59"/>
      <c r="E48" s="29" t="s">
        <v>150</v>
      </c>
      <c r="F48" s="31" t="s">
        <v>161</v>
      </c>
      <c r="G48" s="59"/>
      <c r="H48" s="29"/>
      <c r="I48" s="31"/>
    </row>
    <row r="49" spans="1:9" x14ac:dyDescent="0.3">
      <c r="A49" s="29" t="s">
        <v>140</v>
      </c>
      <c r="B49" s="30" t="s">
        <v>169</v>
      </c>
      <c r="C49" s="29"/>
      <c r="D49" s="59"/>
      <c r="E49" s="29"/>
      <c r="F49" s="31"/>
      <c r="G49" s="59"/>
      <c r="H49" s="29"/>
      <c r="I49" s="31"/>
    </row>
    <row r="50" spans="1:9" x14ac:dyDescent="0.3">
      <c r="A50" s="29" t="s">
        <v>141</v>
      </c>
      <c r="B50" s="30" t="s">
        <v>162</v>
      </c>
      <c r="C50" s="29"/>
      <c r="D50" s="59"/>
      <c r="E50" s="29"/>
      <c r="F50" s="31"/>
      <c r="G50" s="59"/>
      <c r="H50" s="29"/>
      <c r="I50" s="31"/>
    </row>
    <row r="51" spans="1:9" x14ac:dyDescent="0.3">
      <c r="A51" s="29" t="s">
        <v>142</v>
      </c>
      <c r="B51" s="30" t="s">
        <v>179</v>
      </c>
      <c r="C51" s="29"/>
      <c r="D51" s="59"/>
      <c r="E51" s="29"/>
      <c r="F51" s="31"/>
      <c r="G51" s="59"/>
      <c r="H51" s="29"/>
      <c r="I51" s="31"/>
    </row>
    <row r="52" spans="1:9" x14ac:dyDescent="0.3">
      <c r="A52" s="29" t="s">
        <v>143</v>
      </c>
      <c r="B52" s="30" t="s">
        <v>177</v>
      </c>
      <c r="C52" s="29"/>
      <c r="D52" s="59"/>
      <c r="E52" s="29"/>
      <c r="F52" s="31"/>
      <c r="G52" s="59"/>
      <c r="H52" s="29"/>
      <c r="I52" s="31"/>
    </row>
    <row r="53" spans="1:9" x14ac:dyDescent="0.3">
      <c r="A53" s="29" t="s">
        <v>144</v>
      </c>
      <c r="B53" s="30" t="s">
        <v>163</v>
      </c>
      <c r="C53" s="29"/>
      <c r="D53" s="59"/>
      <c r="E53" s="29" t="s">
        <v>149</v>
      </c>
      <c r="F53" s="31" t="s">
        <v>163</v>
      </c>
      <c r="G53" s="59"/>
      <c r="H53" s="29"/>
      <c r="I53" s="31"/>
    </row>
    <row r="54" spans="1:9" x14ac:dyDescent="0.3">
      <c r="A54" s="29" t="s">
        <v>33</v>
      </c>
      <c r="B54" s="30" t="s">
        <v>185</v>
      </c>
      <c r="C54" s="29"/>
      <c r="D54" s="59"/>
      <c r="E54" s="29"/>
      <c r="F54" s="31"/>
      <c r="G54" s="59"/>
      <c r="H54" s="29"/>
      <c r="I54" s="31"/>
    </row>
    <row r="55" spans="1:9" x14ac:dyDescent="0.3">
      <c r="A55" s="29" t="s">
        <v>77</v>
      </c>
      <c r="B55" s="30" t="s">
        <v>186</v>
      </c>
      <c r="C55" s="29"/>
      <c r="D55" s="59"/>
      <c r="E55" s="29"/>
      <c r="F55" s="31"/>
      <c r="G55" s="59"/>
      <c r="H55" s="29"/>
      <c r="I55" s="31"/>
    </row>
    <row r="56" spans="1:9" x14ac:dyDescent="0.3">
      <c r="A56" s="29" t="s">
        <v>183</v>
      </c>
      <c r="B56" s="30" t="s">
        <v>187</v>
      </c>
      <c r="C56" s="29"/>
      <c r="D56" s="59"/>
      <c r="E56" s="29"/>
      <c r="F56" s="31"/>
      <c r="G56" s="59"/>
      <c r="H56" s="29"/>
      <c r="I56" s="31"/>
    </row>
    <row r="57" spans="1:9" x14ac:dyDescent="0.3">
      <c r="A57" s="29" t="s">
        <v>184</v>
      </c>
      <c r="B57" s="30" t="s">
        <v>188</v>
      </c>
      <c r="C57" s="29"/>
      <c r="D57" s="59"/>
      <c r="E57" s="29"/>
      <c r="F57" s="31"/>
      <c r="G57" s="59"/>
      <c r="H57" s="29"/>
      <c r="I57" s="31"/>
    </row>
    <row r="58" spans="1:9" x14ac:dyDescent="0.3">
      <c r="A58" s="29" t="s">
        <v>80</v>
      </c>
      <c r="B58" s="30" t="s">
        <v>189</v>
      </c>
      <c r="C58" s="29"/>
      <c r="D58" s="59"/>
      <c r="E58" s="29"/>
      <c r="F58" s="31"/>
      <c r="G58" s="59"/>
      <c r="H58" s="29"/>
      <c r="I58" s="31"/>
    </row>
    <row r="59" spans="1:9" x14ac:dyDescent="0.3">
      <c r="A59" s="29" t="s">
        <v>81</v>
      </c>
      <c r="B59" s="30" t="s">
        <v>190</v>
      </c>
      <c r="C59" s="29"/>
      <c r="D59" s="59"/>
      <c r="E59" s="29"/>
      <c r="F59" s="31"/>
      <c r="G59" s="59"/>
      <c r="H59" s="29"/>
      <c r="I59" s="31"/>
    </row>
    <row r="60" spans="1:9" x14ac:dyDescent="0.3">
      <c r="A60" s="29" t="s">
        <v>92</v>
      </c>
      <c r="B60" s="30" t="s">
        <v>191</v>
      </c>
      <c r="C60" s="29"/>
      <c r="D60" s="59"/>
      <c r="E60" s="29"/>
      <c r="F60" s="31"/>
      <c r="G60" s="59"/>
      <c r="H60" s="29"/>
      <c r="I60" s="31"/>
    </row>
    <row r="61" spans="1:9" x14ac:dyDescent="0.3">
      <c r="A61" s="29" t="s">
        <v>78</v>
      </c>
      <c r="B61" s="30" t="s">
        <v>187</v>
      </c>
      <c r="C61" s="29"/>
      <c r="D61" s="59"/>
      <c r="E61" s="29"/>
      <c r="F61" s="31"/>
      <c r="G61" s="59"/>
      <c r="H61" s="29"/>
      <c r="I61" s="31"/>
    </row>
    <row r="62" spans="1:9" x14ac:dyDescent="0.3">
      <c r="A62" s="29" t="s">
        <v>79</v>
      </c>
      <c r="B62" s="30" t="s">
        <v>188</v>
      </c>
      <c r="C62" s="29"/>
      <c r="D62" s="59"/>
      <c r="E62" s="29"/>
      <c r="F62" s="31"/>
      <c r="G62" s="59"/>
      <c r="H62" s="29"/>
      <c r="I62" s="31"/>
    </row>
    <row r="63" spans="1:9" x14ac:dyDescent="0.3">
      <c r="A63" s="29" t="s">
        <v>86</v>
      </c>
      <c r="B63" s="30" t="s">
        <v>192</v>
      </c>
      <c r="C63" s="29"/>
      <c r="D63" s="59"/>
      <c r="E63" s="29"/>
      <c r="F63" s="31"/>
      <c r="G63" s="59"/>
      <c r="H63" s="29"/>
      <c r="I63" s="31"/>
    </row>
    <row r="64" spans="1:9" x14ac:dyDescent="0.3">
      <c r="A64" s="29" t="s">
        <v>87</v>
      </c>
      <c r="B64" s="30" t="s">
        <v>193</v>
      </c>
      <c r="C64" s="29"/>
      <c r="D64" s="59"/>
      <c r="E64" s="29"/>
      <c r="F64" s="31"/>
      <c r="G64" s="59"/>
      <c r="H64" s="29"/>
      <c r="I64" s="31"/>
    </row>
    <row r="65" spans="1:9" x14ac:dyDescent="0.3">
      <c r="A65" s="29" t="s">
        <v>82</v>
      </c>
      <c r="B65" s="30" t="s">
        <v>194</v>
      </c>
      <c r="C65" s="29"/>
      <c r="D65" s="59"/>
      <c r="E65" s="29"/>
      <c r="F65" s="31"/>
      <c r="G65" s="59"/>
      <c r="H65" s="29"/>
      <c r="I65" s="31"/>
    </row>
    <row r="66" spans="1:9" x14ac:dyDescent="0.3">
      <c r="A66" s="29" t="s">
        <v>88</v>
      </c>
      <c r="B66" s="30" t="s">
        <v>89</v>
      </c>
      <c r="C66" s="29"/>
      <c r="D66" s="59"/>
      <c r="E66" s="29"/>
      <c r="F66" s="31"/>
      <c r="G66" s="59"/>
      <c r="H66" s="29"/>
      <c r="I66" s="31"/>
    </row>
    <row r="67" spans="1:9" x14ac:dyDescent="0.3">
      <c r="A67" s="29" t="s">
        <v>84</v>
      </c>
      <c r="B67" s="30" t="s">
        <v>85</v>
      </c>
      <c r="C67" s="29"/>
      <c r="D67" s="59"/>
      <c r="E67" s="29"/>
      <c r="F67" s="31"/>
      <c r="G67" s="59"/>
      <c r="H67" s="29"/>
      <c r="I67" s="31"/>
    </row>
    <row r="68" spans="1:9" x14ac:dyDescent="0.3">
      <c r="A68" s="29" t="s">
        <v>231</v>
      </c>
      <c r="B68" s="30" t="s">
        <v>197</v>
      </c>
      <c r="C68" s="29"/>
      <c r="D68" s="59"/>
      <c r="E68" s="29"/>
      <c r="F68" s="31"/>
      <c r="G68" s="59"/>
      <c r="H68" s="29"/>
      <c r="I68" s="31"/>
    </row>
    <row r="69" spans="1:9" x14ac:dyDescent="0.3">
      <c r="A69" s="29" t="s">
        <v>232</v>
      </c>
      <c r="B69" s="30" t="s">
        <v>198</v>
      </c>
      <c r="C69" s="29"/>
      <c r="D69" s="59"/>
      <c r="E69" s="29"/>
      <c r="F69" s="31"/>
      <c r="G69" s="59"/>
      <c r="H69" s="29"/>
      <c r="I69" s="31"/>
    </row>
    <row r="70" spans="1:9" x14ac:dyDescent="0.3">
      <c r="A70" s="29" t="s">
        <v>18</v>
      </c>
      <c r="B70" s="30" t="s">
        <v>59</v>
      </c>
      <c r="C70" s="29"/>
      <c r="D70" s="59"/>
      <c r="E70" s="29"/>
      <c r="F70" s="31"/>
      <c r="G70" s="59"/>
      <c r="H70" s="29"/>
      <c r="I70" s="31"/>
    </row>
    <row r="71" spans="1:9" x14ac:dyDescent="0.3">
      <c r="A71" s="29" t="s">
        <v>19</v>
      </c>
      <c r="B71" s="30" t="s">
        <v>62</v>
      </c>
      <c r="C71" s="29"/>
      <c r="D71" s="59"/>
      <c r="E71" s="29"/>
      <c r="F71" s="31"/>
      <c r="G71" s="59"/>
      <c r="H71" s="29"/>
      <c r="I71" s="31"/>
    </row>
    <row r="72" spans="1:9" x14ac:dyDescent="0.3">
      <c r="A72" s="29" t="s">
        <v>20</v>
      </c>
      <c r="B72" s="30" t="s">
        <v>152</v>
      </c>
      <c r="C72" s="29"/>
      <c r="D72" s="59"/>
      <c r="E72" s="29"/>
      <c r="F72" s="31"/>
      <c r="G72" s="59"/>
      <c r="H72" s="29"/>
      <c r="I72" s="31"/>
    </row>
    <row r="73" spans="1:9" x14ac:dyDescent="0.3">
      <c r="A73" s="29" t="s">
        <v>25</v>
      </c>
      <c r="B73" s="30" t="s">
        <v>170</v>
      </c>
      <c r="C73" s="29"/>
      <c r="D73" s="59"/>
      <c r="E73" s="29"/>
      <c r="F73" s="31"/>
      <c r="G73" s="59"/>
      <c r="H73" s="29"/>
      <c r="I73" s="31"/>
    </row>
    <row r="74" spans="1:9" x14ac:dyDescent="0.3">
      <c r="A74" s="29" t="s">
        <v>26</v>
      </c>
      <c r="B74" s="30" t="s">
        <v>171</v>
      </c>
      <c r="C74" s="29"/>
      <c r="D74" s="59"/>
      <c r="E74" s="29"/>
      <c r="F74" s="31"/>
      <c r="G74" s="59"/>
      <c r="H74" s="29"/>
      <c r="I74" s="31"/>
    </row>
    <row r="75" spans="1:9" x14ac:dyDescent="0.3">
      <c r="A75" s="29" t="s">
        <v>233</v>
      </c>
      <c r="B75" s="30" t="s">
        <v>199</v>
      </c>
      <c r="C75" s="29"/>
      <c r="D75" s="59"/>
      <c r="E75" s="29"/>
      <c r="F75" s="31"/>
      <c r="G75" s="59"/>
      <c r="H75" s="29"/>
      <c r="I75" s="31"/>
    </row>
    <row r="76" spans="1:9" x14ac:dyDescent="0.3">
      <c r="A76" s="29" t="s">
        <v>234</v>
      </c>
      <c r="B76" s="30" t="s">
        <v>200</v>
      </c>
      <c r="C76" s="29"/>
      <c r="D76" s="59"/>
      <c r="E76" s="29"/>
      <c r="F76" s="31"/>
      <c r="G76" s="59"/>
      <c r="H76" s="29"/>
      <c r="I76" s="31"/>
    </row>
    <row r="77" spans="1:9" x14ac:dyDescent="0.3">
      <c r="A77" s="29" t="s">
        <v>235</v>
      </c>
      <c r="B77" s="30" t="s">
        <v>201</v>
      </c>
      <c r="C77" s="29"/>
      <c r="D77" s="59"/>
      <c r="E77" s="29"/>
      <c r="F77" s="31"/>
      <c r="G77" s="59"/>
      <c r="H77" s="29"/>
      <c r="I77" s="31"/>
    </row>
    <row r="78" spans="1:9" x14ac:dyDescent="0.3">
      <c r="A78" s="29" t="s">
        <v>236</v>
      </c>
      <c r="B78" s="30" t="s">
        <v>202</v>
      </c>
      <c r="C78" s="29"/>
      <c r="D78" s="59"/>
      <c r="E78" s="29"/>
      <c r="F78" s="31"/>
      <c r="G78" s="59"/>
      <c r="H78" s="29"/>
      <c r="I78" s="31"/>
    </row>
    <row r="79" spans="1:9" x14ac:dyDescent="0.3">
      <c r="A79" s="29" t="s">
        <v>237</v>
      </c>
      <c r="B79" s="30" t="s">
        <v>203</v>
      </c>
      <c r="C79" s="29"/>
      <c r="D79" s="59"/>
      <c r="E79" s="29"/>
      <c r="F79" s="31"/>
      <c r="G79" s="59"/>
      <c r="H79" s="29"/>
      <c r="I79" s="31"/>
    </row>
    <row r="80" spans="1:9" x14ac:dyDescent="0.3">
      <c r="A80" s="29" t="s">
        <v>238</v>
      </c>
      <c r="B80" s="30" t="s">
        <v>204</v>
      </c>
      <c r="C80" s="29"/>
      <c r="D80" s="59"/>
      <c r="E80" s="29" t="s">
        <v>269</v>
      </c>
      <c r="F80" s="31" t="s">
        <v>275</v>
      </c>
      <c r="G80" s="59"/>
      <c r="H80" s="29"/>
      <c r="I80" s="31"/>
    </row>
    <row r="81" spans="1:9" x14ac:dyDescent="0.3">
      <c r="A81" s="29" t="s">
        <v>239</v>
      </c>
      <c r="B81" s="30" t="s">
        <v>205</v>
      </c>
      <c r="C81" s="29"/>
      <c r="D81" s="59"/>
      <c r="E81" s="29"/>
      <c r="F81" s="31"/>
      <c r="G81" s="59"/>
      <c r="H81" s="29"/>
      <c r="I81" s="31"/>
    </row>
    <row r="82" spans="1:9" x14ac:dyDescent="0.3">
      <c r="A82" s="29" t="s">
        <v>240</v>
      </c>
      <c r="B82" s="30" t="s">
        <v>206</v>
      </c>
      <c r="C82" s="29"/>
      <c r="D82" s="59"/>
      <c r="E82" s="29"/>
      <c r="F82" s="31"/>
      <c r="G82" s="59"/>
      <c r="H82" s="29"/>
      <c r="I82" s="31"/>
    </row>
    <row r="83" spans="1:9" x14ac:dyDescent="0.3">
      <c r="A83" s="29" t="s">
        <v>241</v>
      </c>
      <c r="B83" s="30" t="s">
        <v>207</v>
      </c>
      <c r="C83" s="29"/>
      <c r="D83" s="59"/>
      <c r="E83" s="29"/>
      <c r="F83" s="31"/>
      <c r="G83" s="59"/>
      <c r="H83" s="29"/>
      <c r="I83" s="31"/>
    </row>
    <row r="84" spans="1:9" x14ac:dyDescent="0.3">
      <c r="A84" s="29" t="s">
        <v>242</v>
      </c>
      <c r="B84" s="30" t="s">
        <v>208</v>
      </c>
      <c r="C84" s="29"/>
      <c r="D84" s="59"/>
      <c r="E84" s="29"/>
      <c r="F84" s="31"/>
      <c r="G84" s="59"/>
      <c r="H84" s="29"/>
      <c r="I84" s="31"/>
    </row>
    <row r="85" spans="1:9" x14ac:dyDescent="0.3">
      <c r="A85" s="29" t="s">
        <v>31</v>
      </c>
      <c r="B85" s="30" t="s">
        <v>32</v>
      </c>
      <c r="C85" s="29"/>
      <c r="D85" s="59"/>
      <c r="E85" s="29"/>
      <c r="F85" s="31"/>
      <c r="G85" s="59"/>
      <c r="H85" s="29"/>
      <c r="I85" s="31"/>
    </row>
    <row r="86" spans="1:9" x14ac:dyDescent="0.3">
      <c r="A86" s="29" t="s">
        <v>90</v>
      </c>
      <c r="B86" s="30" t="s">
        <v>209</v>
      </c>
      <c r="C86" s="29"/>
      <c r="D86" s="59"/>
      <c r="E86" s="29"/>
      <c r="F86" s="31"/>
      <c r="G86" s="59"/>
      <c r="H86" s="29"/>
      <c r="I86" s="31"/>
    </row>
    <row r="87" spans="1:9" x14ac:dyDescent="0.3">
      <c r="A87" s="29" t="s">
        <v>243</v>
      </c>
      <c r="B87" s="30" t="s">
        <v>210</v>
      </c>
      <c r="C87" s="29"/>
      <c r="D87" s="59"/>
      <c r="E87" s="29"/>
      <c r="F87" s="31"/>
      <c r="G87" s="59"/>
      <c r="H87" s="29"/>
      <c r="I87" s="31"/>
    </row>
    <row r="88" spans="1:9" x14ac:dyDescent="0.3">
      <c r="A88" s="29" t="s">
        <v>112</v>
      </c>
      <c r="B88" s="30" t="s">
        <v>113</v>
      </c>
      <c r="C88" s="29"/>
      <c r="D88" s="59"/>
      <c r="E88" s="29"/>
      <c r="F88" s="31"/>
      <c r="G88" s="59"/>
      <c r="H88" s="29"/>
      <c r="I88" s="31"/>
    </row>
    <row r="89" spans="1:9" x14ac:dyDescent="0.3">
      <c r="A89" s="29" t="s">
        <v>244</v>
      </c>
      <c r="B89" s="30" t="s">
        <v>211</v>
      </c>
      <c r="C89" s="29"/>
      <c r="D89" s="59"/>
      <c r="E89" s="29"/>
      <c r="F89" s="31"/>
      <c r="G89" s="59"/>
      <c r="H89" s="29"/>
      <c r="I89" s="31"/>
    </row>
    <row r="90" spans="1:9" x14ac:dyDescent="0.3">
      <c r="A90" s="29" t="s">
        <v>43</v>
      </c>
      <c r="B90" s="30" t="s">
        <v>212</v>
      </c>
      <c r="C90" s="29"/>
      <c r="D90" s="59"/>
      <c r="E90" s="29"/>
      <c r="F90" s="31"/>
      <c r="G90" s="59"/>
      <c r="H90" s="29"/>
      <c r="I90" s="31"/>
    </row>
    <row r="91" spans="1:9" x14ac:dyDescent="0.3">
      <c r="A91" s="29" t="s">
        <v>245</v>
      </c>
      <c r="B91" s="30" t="s">
        <v>213</v>
      </c>
      <c r="C91" s="29"/>
      <c r="D91" s="59"/>
      <c r="E91" s="29"/>
      <c r="F91" s="31"/>
      <c r="G91" s="59"/>
      <c r="H91" s="29"/>
      <c r="I91" s="31"/>
    </row>
    <row r="92" spans="1:9" x14ac:dyDescent="0.3">
      <c r="A92" s="29" t="s">
        <v>102</v>
      </c>
      <c r="B92" s="30" t="s">
        <v>214</v>
      </c>
      <c r="C92" s="29"/>
      <c r="D92" s="59"/>
      <c r="E92" s="29"/>
      <c r="F92" s="31"/>
      <c r="G92" s="59"/>
      <c r="H92" s="29"/>
      <c r="I92" s="31"/>
    </row>
    <row r="93" spans="1:9" x14ac:dyDescent="0.3">
      <c r="A93" s="29" t="s">
        <v>246</v>
      </c>
      <c r="B93" s="30" t="s">
        <v>268</v>
      </c>
      <c r="C93" s="29"/>
      <c r="D93" s="59"/>
      <c r="E93" s="29" t="s">
        <v>270</v>
      </c>
      <c r="F93" s="31" t="s">
        <v>268</v>
      </c>
      <c r="G93" s="59"/>
      <c r="H93" s="29"/>
      <c r="I93" s="31"/>
    </row>
    <row r="94" spans="1:9" x14ac:dyDescent="0.3">
      <c r="A94" s="29" t="s">
        <v>247</v>
      </c>
      <c r="B94" s="30" t="s">
        <v>215</v>
      </c>
      <c r="C94" s="29"/>
      <c r="D94" s="59"/>
      <c r="E94" s="29"/>
      <c r="F94" s="31"/>
      <c r="G94" s="59"/>
      <c r="H94" s="29"/>
      <c r="I94" s="31"/>
    </row>
    <row r="95" spans="1:9" x14ac:dyDescent="0.3">
      <c r="A95" s="29" t="s">
        <v>248</v>
      </c>
      <c r="B95" s="30" t="s">
        <v>216</v>
      </c>
      <c r="C95" s="29"/>
      <c r="D95" s="59"/>
      <c r="E95" s="29"/>
      <c r="F95" s="31"/>
      <c r="G95" s="59"/>
      <c r="H95" s="29"/>
      <c r="I95" s="31"/>
    </row>
    <row r="96" spans="1:9" x14ac:dyDescent="0.3">
      <c r="A96" s="29" t="s">
        <v>249</v>
      </c>
      <c r="B96" s="30" t="s">
        <v>217</v>
      </c>
      <c r="C96" s="29"/>
      <c r="D96" s="59"/>
      <c r="E96" s="29"/>
      <c r="F96" s="31"/>
      <c r="G96" s="59"/>
      <c r="H96" s="29"/>
      <c r="I96" s="31"/>
    </row>
    <row r="97" spans="1:9" x14ac:dyDescent="0.3">
      <c r="A97" s="29" t="s">
        <v>250</v>
      </c>
      <c r="B97" s="30" t="s">
        <v>218</v>
      </c>
      <c r="C97" s="29"/>
      <c r="D97" s="59"/>
      <c r="E97" s="29"/>
      <c r="F97" s="31"/>
      <c r="G97" s="59"/>
      <c r="H97" s="29"/>
      <c r="I97" s="31"/>
    </row>
    <row r="98" spans="1:9" x14ac:dyDescent="0.3">
      <c r="A98" s="29" t="s">
        <v>251</v>
      </c>
      <c r="B98" s="30" t="s">
        <v>219</v>
      </c>
      <c r="C98" s="29"/>
      <c r="D98" s="59"/>
      <c r="E98" s="29"/>
      <c r="F98" s="31"/>
      <c r="G98" s="59"/>
      <c r="H98" s="29"/>
      <c r="I98" s="31"/>
    </row>
    <row r="99" spans="1:9" x14ac:dyDescent="0.3">
      <c r="A99" s="29" t="s">
        <v>252</v>
      </c>
      <c r="B99" s="30" t="s">
        <v>220</v>
      </c>
      <c r="C99" s="29"/>
      <c r="D99" s="59"/>
      <c r="E99" s="29" t="s">
        <v>271</v>
      </c>
      <c r="F99" s="31" t="s">
        <v>220</v>
      </c>
      <c r="G99" s="59"/>
      <c r="H99" s="29"/>
      <c r="I99" s="31"/>
    </row>
    <row r="100" spans="1:9" x14ac:dyDescent="0.3">
      <c r="A100" s="29" t="s">
        <v>253</v>
      </c>
      <c r="B100" s="30" t="s">
        <v>221</v>
      </c>
      <c r="C100" s="29"/>
      <c r="D100" s="59"/>
      <c r="E100" s="29"/>
      <c r="F100" s="31"/>
      <c r="G100" s="59"/>
      <c r="H100" s="29"/>
      <c r="I100" s="31"/>
    </row>
    <row r="101" spans="1:9" x14ac:dyDescent="0.3">
      <c r="A101" s="29" t="s">
        <v>254</v>
      </c>
      <c r="B101" s="30" t="s">
        <v>222</v>
      </c>
      <c r="C101" s="29"/>
      <c r="D101" s="59"/>
      <c r="E101" s="29"/>
      <c r="F101" s="31"/>
      <c r="G101" s="59"/>
      <c r="H101" s="29"/>
      <c r="I101" s="31"/>
    </row>
    <row r="102" spans="1:9" x14ac:dyDescent="0.3">
      <c r="A102" s="29" t="s">
        <v>255</v>
      </c>
      <c r="B102" s="30" t="s">
        <v>223</v>
      </c>
      <c r="C102" s="29"/>
      <c r="D102" s="59"/>
      <c r="E102" s="29"/>
      <c r="F102" s="31"/>
      <c r="G102" s="59"/>
      <c r="H102" s="29"/>
      <c r="I102" s="31"/>
    </row>
    <row r="103" spans="1:9" x14ac:dyDescent="0.3">
      <c r="A103" s="29" t="s">
        <v>256</v>
      </c>
      <c r="B103" s="30" t="s">
        <v>224</v>
      </c>
      <c r="C103" s="29"/>
      <c r="D103" s="59"/>
      <c r="E103" s="29"/>
      <c r="F103" s="31"/>
      <c r="G103" s="59"/>
      <c r="H103" s="29"/>
      <c r="I103" s="31"/>
    </row>
    <row r="104" spans="1:9" x14ac:dyDescent="0.3">
      <c r="A104" s="29" t="s">
        <v>257</v>
      </c>
      <c r="B104" s="30" t="s">
        <v>225</v>
      </c>
      <c r="C104" s="29"/>
      <c r="D104" s="59"/>
      <c r="E104" s="29"/>
      <c r="F104" s="31"/>
      <c r="G104" s="59"/>
      <c r="H104" s="29"/>
      <c r="I104" s="31"/>
    </row>
    <row r="105" spans="1:9" x14ac:dyDescent="0.3">
      <c r="A105" s="29" t="s">
        <v>258</v>
      </c>
      <c r="B105" s="30" t="s">
        <v>226</v>
      </c>
      <c r="C105" s="29"/>
      <c r="D105" s="59"/>
      <c r="E105" s="29"/>
      <c r="F105" s="31"/>
      <c r="G105" s="59"/>
      <c r="H105" s="29"/>
      <c r="I105" s="31"/>
    </row>
    <row r="106" spans="1:9" x14ac:dyDescent="0.3">
      <c r="A106" s="29" t="s">
        <v>259</v>
      </c>
      <c r="B106" s="30" t="s">
        <v>227</v>
      </c>
      <c r="C106" s="29"/>
      <c r="D106" s="59"/>
      <c r="E106" s="29"/>
      <c r="F106" s="31"/>
      <c r="G106" s="59"/>
      <c r="H106" s="29"/>
      <c r="I106" s="31"/>
    </row>
    <row r="107" spans="1:9" x14ac:dyDescent="0.3">
      <c r="A107" s="29" t="s">
        <v>260</v>
      </c>
      <c r="B107" s="30" t="s">
        <v>228</v>
      </c>
      <c r="C107" s="29"/>
      <c r="D107" s="59"/>
      <c r="E107" s="29"/>
      <c r="F107" s="31"/>
      <c r="G107" s="59"/>
      <c r="H107" s="29"/>
      <c r="I107" s="31"/>
    </row>
    <row r="108" spans="1:9" x14ac:dyDescent="0.3">
      <c r="A108" s="29" t="s">
        <v>261</v>
      </c>
      <c r="B108" s="30" t="s">
        <v>229</v>
      </c>
      <c r="C108" s="29"/>
      <c r="D108" s="59"/>
      <c r="E108" s="29"/>
      <c r="F108" s="31"/>
      <c r="G108" s="59"/>
      <c r="H108" s="29"/>
      <c r="I108" s="31"/>
    </row>
    <row r="109" spans="1:9" x14ac:dyDescent="0.3">
      <c r="A109" s="29" t="s">
        <v>262</v>
      </c>
      <c r="B109" s="30" t="s">
        <v>230</v>
      </c>
      <c r="C109" s="29"/>
      <c r="D109" s="59"/>
      <c r="E109" s="29"/>
      <c r="F109" s="31"/>
      <c r="G109" s="59"/>
      <c r="H109" s="29"/>
      <c r="I109" s="31"/>
    </row>
    <row r="110" spans="1:9" x14ac:dyDescent="0.3">
      <c r="A110"/>
      <c r="B110"/>
      <c r="C110"/>
      <c r="D110"/>
      <c r="E110"/>
      <c r="F110"/>
      <c r="G110"/>
      <c r="H110"/>
      <c r="I110"/>
    </row>
    <row r="111" spans="1:9" x14ac:dyDescent="0.3">
      <c r="A111"/>
      <c r="B111"/>
      <c r="C111"/>
      <c r="D111"/>
      <c r="E111"/>
      <c r="F111"/>
      <c r="G111"/>
      <c r="H111"/>
      <c r="I111"/>
    </row>
    <row r="112" spans="1:9" x14ac:dyDescent="0.3">
      <c r="A112"/>
      <c r="B112"/>
      <c r="C112"/>
      <c r="D112"/>
      <c r="E112"/>
      <c r="F112"/>
      <c r="G112"/>
      <c r="H112"/>
      <c r="I112"/>
    </row>
    <row r="113" spans="1:9" x14ac:dyDescent="0.3">
      <c r="A113"/>
      <c r="B113"/>
      <c r="C113"/>
      <c r="D113"/>
      <c r="E113"/>
      <c r="F113"/>
      <c r="G113"/>
      <c r="H113"/>
      <c r="I113"/>
    </row>
    <row r="114" spans="1:9" x14ac:dyDescent="0.3">
      <c r="A114"/>
      <c r="B114"/>
      <c r="C114"/>
      <c r="D114"/>
      <c r="E114"/>
      <c r="F114"/>
      <c r="G114"/>
      <c r="H114"/>
      <c r="I114"/>
    </row>
    <row r="115" spans="1:9" x14ac:dyDescent="0.3">
      <c r="A115"/>
      <c r="B115"/>
      <c r="C115"/>
      <c r="D115"/>
      <c r="E115"/>
      <c r="F115"/>
      <c r="G115"/>
      <c r="H115"/>
      <c r="I115"/>
    </row>
    <row r="116" spans="1:9" x14ac:dyDescent="0.3">
      <c r="A116"/>
      <c r="B116"/>
      <c r="C116"/>
      <c r="D116"/>
      <c r="E116"/>
      <c r="F116"/>
      <c r="G116"/>
      <c r="H116"/>
      <c r="I116"/>
    </row>
    <row r="117" spans="1:9" x14ac:dyDescent="0.3">
      <c r="A117"/>
      <c r="B117"/>
      <c r="C117"/>
      <c r="D117"/>
      <c r="E117"/>
      <c r="F117"/>
      <c r="G117"/>
      <c r="H117"/>
      <c r="I117"/>
    </row>
    <row r="118" spans="1:9" x14ac:dyDescent="0.3">
      <c r="A118"/>
      <c r="B118"/>
      <c r="C118"/>
      <c r="D118"/>
      <c r="E118"/>
      <c r="F118"/>
      <c r="G118"/>
      <c r="H118"/>
      <c r="I118"/>
    </row>
    <row r="119" spans="1:9" x14ac:dyDescent="0.3">
      <c r="A119"/>
      <c r="B119"/>
      <c r="C119"/>
      <c r="D119"/>
      <c r="E119"/>
      <c r="F119"/>
      <c r="G119"/>
      <c r="H119"/>
      <c r="I119"/>
    </row>
    <row r="120" spans="1:9" x14ac:dyDescent="0.3">
      <c r="A120"/>
      <c r="B120"/>
      <c r="C120"/>
      <c r="D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A122"/>
      <c r="B122"/>
      <c r="C122"/>
      <c r="D122"/>
      <c r="E122"/>
      <c r="F122"/>
      <c r="G122"/>
      <c r="H122"/>
      <c r="I122"/>
    </row>
    <row r="123" spans="1:9" x14ac:dyDescent="0.3">
      <c r="A123"/>
      <c r="B123"/>
      <c r="C123"/>
      <c r="D123"/>
      <c r="E123"/>
      <c r="F123"/>
      <c r="G123"/>
      <c r="H123"/>
      <c r="I123"/>
    </row>
    <row r="124" spans="1:9" x14ac:dyDescent="0.3">
      <c r="A124"/>
      <c r="B124"/>
      <c r="C124"/>
      <c r="D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H127"/>
      <c r="I127"/>
    </row>
    <row r="128" spans="1:9" x14ac:dyDescent="0.3">
      <c r="A128"/>
      <c r="B128"/>
      <c r="C128"/>
      <c r="D128"/>
      <c r="E128"/>
      <c r="F128"/>
      <c r="G128"/>
      <c r="H128"/>
      <c r="I128"/>
    </row>
    <row r="129" spans="1:9" x14ac:dyDescent="0.3">
      <c r="A129"/>
      <c r="B129"/>
      <c r="C129"/>
      <c r="D129"/>
      <c r="E129"/>
      <c r="F129"/>
      <c r="G129"/>
      <c r="H129"/>
      <c r="I129"/>
    </row>
    <row r="130" spans="1:9" x14ac:dyDescent="0.3">
      <c r="A130"/>
      <c r="B130"/>
      <c r="C130"/>
      <c r="D130"/>
      <c r="E130"/>
      <c r="F130"/>
      <c r="G130"/>
      <c r="H130"/>
      <c r="I130"/>
    </row>
    <row r="131" spans="1:9" x14ac:dyDescent="0.3">
      <c r="A131"/>
      <c r="B131"/>
      <c r="C131"/>
      <c r="D131"/>
      <c r="E131"/>
      <c r="F131"/>
      <c r="G131"/>
      <c r="H131"/>
      <c r="I131"/>
    </row>
    <row r="132" spans="1:9" x14ac:dyDescent="0.3">
      <c r="A132"/>
      <c r="B132"/>
      <c r="C132"/>
      <c r="D132"/>
      <c r="E132"/>
      <c r="F132"/>
      <c r="G132"/>
      <c r="H132"/>
      <c r="I132"/>
    </row>
    <row r="133" spans="1:9" x14ac:dyDescent="0.3">
      <c r="A133"/>
      <c r="B133"/>
      <c r="C133"/>
      <c r="D133"/>
      <c r="E133"/>
      <c r="F133"/>
      <c r="G133"/>
      <c r="H133"/>
      <c r="I133"/>
    </row>
  </sheetData>
  <sheetProtection algorithmName="SHA-512" hashValue="KfIs+pjhUb7p2o/3GZBTQQK0vXmXDk1NE0hBrxo+emGcVZtK+akbb/4uvSJIpB26lVc/oggcOHwj/iqGfJLQgA==" saltValue="48BWVxytaMIU4MgM50INGA==" spinCount="100000" sheet="1" objects="1" scenarios="1" selectLockedCells="1"/>
  <protectedRanges>
    <protectedRange sqref="D2:D3 G2:G3" name="Rango1_1"/>
  </protectedRanges>
  <autoFilter ref="A1:I109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2025-04-08T14:50:11Z</cp:lastPrinted>
  <dcterms:created xsi:type="dcterms:W3CDTF">2024-08-29T16:28:19Z</dcterms:created>
  <dcterms:modified xsi:type="dcterms:W3CDTF">2026-09-15T20:58:07Z</dcterms:modified>
  <cp:category/>
  <cp:contentStatus/>
</cp:coreProperties>
</file>
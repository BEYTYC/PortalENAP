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escuelanaval-my.sharepoint.com/personal/jestadisticaplen_enap_edu_co/Documents/Estadística/Bases de Datos/B.D Grados - Balances Académicos/PLANTILLAS BALANCES/"/>
    </mc:Choice>
  </mc:AlternateContent>
  <xr:revisionPtr revIDLastSave="2593" documentId="8_{064E12FB-7D89-4E8F-9CE5-3099933A24BA}" xr6:coauthVersionLast="47" xr6:coauthVersionMax="47" xr10:uidLastSave="{55BBE5B4-3B42-4826-A3E4-4CF44279C2C2}"/>
  <bookViews>
    <workbookView xWindow="-108" yWindow="-108" windowWidth="23256" windowHeight="12456" activeTab="3" xr2:uid="{00000000-000D-0000-FFFF-FFFF00000000}"/>
  </bookViews>
  <sheets>
    <sheet name="Balance" sheetId="1" r:id="rId1"/>
    <sheet name="Notas" sheetId="2" r:id="rId2"/>
    <sheet name="Optativas" sheetId="7" r:id="rId3"/>
    <sheet name="Equivalencia" sheetId="8" r:id="rId4"/>
  </sheets>
  <definedNames>
    <definedName name="_xlnm._FilterDatabase" localSheetId="0" hidden="1">Balance!$C$11:$L$63</definedName>
    <definedName name="_xlnm._FilterDatabase" localSheetId="3" hidden="1">Equivalencia!$A$1:$I$27</definedName>
    <definedName name="_xlnm._FilterDatabase" localSheetId="1" hidden="1">Notas!$A$1:$U$352</definedName>
    <definedName name="_xleta.IFERROR" hidden="1" xlm="1">#NAME?</definedName>
    <definedName name="_xleta.MAX" hidden="1" xlm="1">#NAME?</definedName>
    <definedName name="_xleta.N" hidden="1" xlm="1">#NAME?</definedName>
    <definedName name="_xleta.VLOOKUP" hidden="1" xlm="1">#NAME?</definedName>
    <definedName name="_xlnm.Print_Area" localSheetId="0">Balance!$C$3:$L$77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63" i="1" l="1"/>
  <c r="G63" i="1" l="1"/>
  <c r="H62" i="1"/>
  <c r="G62" i="1"/>
  <c r="L62" i="1"/>
  <c r="J62" i="1"/>
  <c r="J63" i="1"/>
  <c r="L63" i="1"/>
  <c r="J61" i="1" l="1"/>
  <c r="G33" i="1" l="1" a="1"/>
  <c r="G33" i="1" s="1"/>
  <c r="F8" i="1"/>
  <c r="K63" i="1" l="1"/>
  <c r="K62" i="1"/>
  <c r="K33" i="1" a="1"/>
  <c r="K33" i="1" s="1"/>
  <c r="J65" i="1"/>
  <c r="H61" i="1"/>
  <c r="G61" i="1"/>
  <c r="L61" i="1" s="1"/>
  <c r="K61" i="1" l="1"/>
  <c r="L9" i="1"/>
  <c r="G59" i="1" l="1"/>
  <c r="H59" i="1" s="1"/>
  <c r="G60" i="1"/>
  <c r="H60" i="1" s="1"/>
  <c r="G58" i="1"/>
  <c r="H58" i="1" s="1"/>
  <c r="G31" i="1"/>
  <c r="K31" i="1" s="1"/>
  <c r="G24" i="1"/>
  <c r="K24" i="1" s="1"/>
  <c r="G35" i="1"/>
  <c r="K35" i="1" s="1"/>
  <c r="G28" i="1"/>
  <c r="K28" i="1" s="1"/>
  <c r="G19" i="1"/>
  <c r="K19" i="1" s="1"/>
  <c r="G25" i="1"/>
  <c r="K25" i="1" s="1"/>
  <c r="G46" i="1"/>
  <c r="K46" i="1" s="1"/>
  <c r="G49" i="1"/>
  <c r="K49" i="1" s="1"/>
  <c r="G51" i="1"/>
  <c r="K51" i="1" s="1"/>
  <c r="G36" i="1"/>
  <c r="K36" i="1" s="1"/>
  <c r="G12" i="1"/>
  <c r="K12" i="1" s="1"/>
  <c r="G54" i="1"/>
  <c r="K54" i="1" s="1"/>
  <c r="G45" i="1"/>
  <c r="K45" i="1" s="1"/>
  <c r="G17" i="1"/>
  <c r="K17" i="1" s="1"/>
  <c r="G30" i="1"/>
  <c r="K30" i="1" s="1"/>
  <c r="G34" i="1"/>
  <c r="K34" i="1" s="1"/>
  <c r="G13" i="1"/>
  <c r="K13" i="1" s="1"/>
  <c r="G55" i="1"/>
  <c r="K55" i="1" s="1"/>
  <c r="G40" i="1"/>
  <c r="K40" i="1" s="1"/>
  <c r="G26" i="1"/>
  <c r="G14" i="1"/>
  <c r="K14" i="1" s="1"/>
  <c r="G50" i="1"/>
  <c r="K50" i="1" s="1"/>
  <c r="G23" i="1"/>
  <c r="K23" i="1" s="1"/>
  <c r="G21" i="1"/>
  <c r="K21" i="1" s="1"/>
  <c r="G44" i="1"/>
  <c r="K44" i="1" s="1"/>
  <c r="G20" i="1"/>
  <c r="K20" i="1" s="1"/>
  <c r="G39" i="1"/>
  <c r="K39" i="1" s="1"/>
  <c r="G48" i="1"/>
  <c r="K48" i="1" s="1"/>
  <c r="G27" i="1"/>
  <c r="K27" i="1" s="1"/>
  <c r="G57" i="1"/>
  <c r="K57" i="1" s="1"/>
  <c r="G43" i="1"/>
  <c r="K43" i="1" s="1"/>
  <c r="G32" i="1"/>
  <c r="K32" i="1" s="1"/>
  <c r="G47" i="1"/>
  <c r="K47" i="1" s="1"/>
  <c r="G53" i="1"/>
  <c r="G16" i="1"/>
  <c r="K16" i="1" s="1"/>
  <c r="G42" i="1"/>
  <c r="K42" i="1" s="1"/>
  <c r="G38" i="1"/>
  <c r="K38" i="1" s="1"/>
  <c r="G22" i="1"/>
  <c r="K22" i="1" s="1"/>
  <c r="G18" i="1"/>
  <c r="K18" i="1" s="1"/>
  <c r="G29" i="1"/>
  <c r="K29" i="1" s="1"/>
  <c r="G15" i="1"/>
  <c r="K15" i="1" s="1"/>
  <c r="G56" i="1"/>
  <c r="K56" i="1" s="1"/>
  <c r="G52" i="1"/>
  <c r="K52" i="1" s="1"/>
  <c r="G41" i="1"/>
  <c r="K41" i="1" s="1"/>
  <c r="G37" i="1"/>
  <c r="K37" i="1" s="1"/>
  <c r="H4" i="7"/>
  <c r="H5" i="7"/>
  <c r="H6" i="7"/>
  <c r="H7" i="7"/>
  <c r="H8" i="7"/>
  <c r="H9" i="7"/>
  <c r="H10" i="7"/>
  <c r="H11" i="7"/>
  <c r="H12" i="7"/>
  <c r="H13" i="7"/>
  <c r="L58" i="1" l="1"/>
  <c r="K58" i="1"/>
  <c r="L60" i="1"/>
  <c r="K60" i="1"/>
  <c r="L59" i="1"/>
  <c r="K59" i="1"/>
  <c r="L12" i="1"/>
  <c r="K53" i="1"/>
  <c r="L53" i="1"/>
  <c r="H26" i="1"/>
  <c r="K26" i="1"/>
  <c r="H42" i="1"/>
  <c r="L42" i="1"/>
  <c r="H36" i="1"/>
  <c r="L36" i="1"/>
  <c r="H28" i="1"/>
  <c r="L28" i="1"/>
  <c r="H34" i="1"/>
  <c r="L34" i="1"/>
  <c r="H48" i="1"/>
  <c r="L48" i="1"/>
  <c r="H35" i="1"/>
  <c r="L35" i="1"/>
  <c r="H14" i="1"/>
  <c r="L14" i="1"/>
  <c r="H17" i="1"/>
  <c r="L17" i="1"/>
  <c r="H47" i="1"/>
  <c r="L47" i="1"/>
  <c r="H44" i="1"/>
  <c r="L44" i="1"/>
  <c r="H49" i="1"/>
  <c r="L49" i="1"/>
  <c r="H33" i="1"/>
  <c r="L33" i="1"/>
  <c r="H45" i="1"/>
  <c r="L45" i="1"/>
  <c r="H31" i="1"/>
  <c r="L31" i="1"/>
  <c r="H55" i="1"/>
  <c r="L55" i="1"/>
  <c r="H51" i="1"/>
  <c r="L51" i="1"/>
  <c r="H24" i="1"/>
  <c r="L24" i="1"/>
  <c r="H15" i="1"/>
  <c r="L15" i="1"/>
  <c r="H25" i="1"/>
  <c r="L25" i="1"/>
  <c r="H38" i="1"/>
  <c r="L38" i="1"/>
  <c r="H46" i="1"/>
  <c r="L46" i="1"/>
  <c r="H41" i="1"/>
  <c r="L41" i="1"/>
  <c r="H37" i="1"/>
  <c r="L37" i="1"/>
  <c r="H30" i="1"/>
  <c r="L30" i="1"/>
  <c r="H54" i="1"/>
  <c r="L54" i="1"/>
  <c r="H22" i="1"/>
  <c r="L22" i="1"/>
  <c r="H39" i="1"/>
  <c r="L39" i="1"/>
  <c r="H20" i="1"/>
  <c r="L20" i="1"/>
  <c r="H29" i="1"/>
  <c r="L29" i="1"/>
  <c r="H16" i="1"/>
  <c r="L16" i="1"/>
  <c r="H56" i="1"/>
  <c r="L56" i="1"/>
  <c r="H23" i="1"/>
  <c r="L23" i="1"/>
  <c r="H57" i="1"/>
  <c r="L57" i="1"/>
  <c r="H32" i="1"/>
  <c r="L32" i="1"/>
  <c r="H40" i="1"/>
  <c r="L40" i="1"/>
  <c r="H50" i="1"/>
  <c r="L50" i="1"/>
  <c r="H43" i="1"/>
  <c r="L43" i="1"/>
  <c r="H18" i="1"/>
  <c r="L18" i="1"/>
  <c r="H21" i="1"/>
  <c r="L21" i="1"/>
  <c r="H27" i="1"/>
  <c r="L27" i="1"/>
  <c r="H53" i="1"/>
  <c r="L26" i="1"/>
  <c r="H52" i="1"/>
  <c r="L52" i="1"/>
  <c r="H13" i="1"/>
  <c r="L13" i="1"/>
  <c r="H19" i="1"/>
  <c r="L19" i="1"/>
  <c r="C5" i="7"/>
  <c r="C6" i="7"/>
  <c r="C7" i="7"/>
  <c r="C8" i="7"/>
  <c r="C9" i="7"/>
  <c r="C10" i="7"/>
  <c r="C11" i="7"/>
  <c r="C12" i="7"/>
  <c r="C13" i="7"/>
  <c r="C4" i="7"/>
  <c r="L8" i="1" l="1"/>
  <c r="H12" i="1"/>
  <c r="J6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<sst xmlns="http://schemas.openxmlformats.org/spreadsheetml/2006/main" count="1035" uniqueCount="385">
  <si>
    <t xml:space="preserve"> </t>
  </si>
  <si>
    <t>BALANCE ACADÉMICO</t>
  </si>
  <si>
    <r>
      <rPr>
        <b/>
        <sz val="10"/>
        <color theme="1"/>
        <rFont val="Aptos Display"/>
        <family val="2"/>
        <scheme val="major"/>
      </rPr>
      <t>Autoridad:</t>
    </r>
    <r>
      <rPr>
        <sz val="10"/>
        <color theme="1"/>
        <rFont val="Aptos Display"/>
        <family val="2"/>
        <scheme val="major"/>
      </rPr>
      <t xml:space="preserve"> JINEN</t>
    </r>
  </si>
  <si>
    <r>
      <rPr>
        <b/>
        <sz val="9"/>
        <color theme="1"/>
        <rFont val="Aptos Display"/>
        <family val="2"/>
        <scheme val="major"/>
      </rPr>
      <t xml:space="preserve">Proceso: </t>
    </r>
    <r>
      <rPr>
        <sz val="9"/>
        <color theme="1"/>
        <rFont val="Aptos Display"/>
        <family val="2"/>
        <scheme val="major"/>
      </rPr>
      <t>Educación</t>
    </r>
  </si>
  <si>
    <r>
      <rPr>
        <b/>
        <sz val="9"/>
        <color theme="1"/>
        <rFont val="Aptos Display"/>
        <family val="2"/>
        <scheme val="major"/>
      </rPr>
      <t>Rige a partir de</t>
    </r>
    <r>
      <rPr>
        <sz val="9"/>
        <color theme="1"/>
        <rFont val="Aptos Display"/>
        <family val="2"/>
        <scheme val="major"/>
      </rPr>
      <t xml:space="preserve">: 
09/05/2022 </t>
    </r>
  </si>
  <si>
    <r>
      <t xml:space="preserve">Página 
</t>
    </r>
    <r>
      <rPr>
        <b/>
        <sz val="9"/>
        <color theme="1"/>
        <rFont val="Aptos Display"/>
        <family val="2"/>
        <scheme val="major"/>
      </rPr>
      <t>1</t>
    </r>
    <r>
      <rPr>
        <sz val="9"/>
        <color theme="1"/>
        <rFont val="Aptos Display"/>
        <family val="2"/>
        <scheme val="major"/>
      </rPr>
      <t xml:space="preserve"> de </t>
    </r>
    <r>
      <rPr>
        <b/>
        <sz val="9"/>
        <color theme="1"/>
        <rFont val="Aptos Display"/>
        <family val="2"/>
        <scheme val="major"/>
      </rPr>
      <t>1</t>
    </r>
    <r>
      <rPr>
        <sz val="9"/>
        <color theme="1"/>
        <rFont val="Aptos Display"/>
        <family val="2"/>
        <scheme val="major"/>
      </rPr>
      <t xml:space="preserve"> </t>
    </r>
  </si>
  <si>
    <r>
      <rPr>
        <b/>
        <sz val="9"/>
        <color theme="1"/>
        <rFont val="Aptos Display"/>
        <family val="2"/>
        <scheme val="major"/>
      </rPr>
      <t xml:space="preserve">Código: </t>
    </r>
    <r>
      <rPr>
        <sz val="9"/>
        <color theme="1"/>
        <rFont val="Aptos Display"/>
        <family val="2"/>
        <scheme val="major"/>
      </rPr>
      <t>EDUCA-FT-009-JINEN-V05</t>
    </r>
  </si>
  <si>
    <t>NOMBRES Y APELLIDOS:</t>
  </si>
  <si>
    <t>Fecha elaboración:</t>
  </si>
  <si>
    <t>PROGRAMA ACADÉMICO:</t>
  </si>
  <si>
    <t>Periodo de terminación:</t>
  </si>
  <si>
    <t>COD.</t>
  </si>
  <si>
    <t>PÉNSUM VIGENTE</t>
  </si>
  <si>
    <t>PÉNSUM CURSADO</t>
  </si>
  <si>
    <t>CRÉDITOS</t>
  </si>
  <si>
    <t>NOTA</t>
  </si>
  <si>
    <t>HAB.</t>
  </si>
  <si>
    <t>CB100</t>
  </si>
  <si>
    <t>CB101</t>
  </si>
  <si>
    <t>CB102</t>
  </si>
  <si>
    <t>CB103</t>
  </si>
  <si>
    <t>CB104</t>
  </si>
  <si>
    <t>CB109</t>
  </si>
  <si>
    <t>CB201</t>
  </si>
  <si>
    <t>CB203</t>
  </si>
  <si>
    <t>CB401</t>
  </si>
  <si>
    <t>CB402</t>
  </si>
  <si>
    <t>CB404</t>
  </si>
  <si>
    <t>CS401</t>
  </si>
  <si>
    <t>CS300</t>
  </si>
  <si>
    <t>CS711</t>
  </si>
  <si>
    <t>CS712</t>
  </si>
  <si>
    <t>CS713</t>
  </si>
  <si>
    <t>AM201</t>
  </si>
  <si>
    <t>AM401</t>
  </si>
  <si>
    <t>IN206</t>
  </si>
  <si>
    <t>OF115</t>
  </si>
  <si>
    <t>PROMEDIO PONDERADO ACUMULADO</t>
  </si>
  <si>
    <t>Jefe de Programa</t>
  </si>
  <si>
    <t>Decano de Facultad</t>
  </si>
  <si>
    <t>CÓD</t>
  </si>
  <si>
    <t>ASIGNATURA</t>
  </si>
  <si>
    <t>CRÉD</t>
  </si>
  <si>
    <t>CÓDIGO</t>
  </si>
  <si>
    <t>AM229</t>
  </si>
  <si>
    <t>AM200</t>
  </si>
  <si>
    <t>CB112</t>
  </si>
  <si>
    <t>CB113</t>
  </si>
  <si>
    <t>IN422</t>
  </si>
  <si>
    <t>IN421</t>
  </si>
  <si>
    <t>CB405</t>
  </si>
  <si>
    <t>CN300</t>
  </si>
  <si>
    <t>CN330</t>
  </si>
  <si>
    <t>CS205</t>
  </si>
  <si>
    <t>CS301</t>
  </si>
  <si>
    <t>CS302</t>
  </si>
  <si>
    <t>CS303</t>
  </si>
  <si>
    <t>CS304</t>
  </si>
  <si>
    <t>CS305</t>
  </si>
  <si>
    <t>CS306</t>
  </si>
  <si>
    <t>CS314</t>
  </si>
  <si>
    <t>CS316</t>
  </si>
  <si>
    <t>CS317</t>
  </si>
  <si>
    <t>CS318</t>
  </si>
  <si>
    <t>CS319</t>
  </si>
  <si>
    <t>CS307</t>
  </si>
  <si>
    <t>CS208</t>
  </si>
  <si>
    <t>CS203</t>
  </si>
  <si>
    <t>CS209</t>
  </si>
  <si>
    <t>CS201</t>
  </si>
  <si>
    <t>IN202</t>
  </si>
  <si>
    <t>IN207</t>
  </si>
  <si>
    <t>IN219</t>
  </si>
  <si>
    <t>IN500</t>
  </si>
  <si>
    <t>IN220</t>
  </si>
  <si>
    <t>IN201</t>
  </si>
  <si>
    <t>OF102</t>
  </si>
  <si>
    <t>OF201</t>
  </si>
  <si>
    <t>Sociales</t>
  </si>
  <si>
    <t>INGENIERÍA NAVAL</t>
  </si>
  <si>
    <t>CB105</t>
  </si>
  <si>
    <t>CB205</t>
  </si>
  <si>
    <t>CB302</t>
  </si>
  <si>
    <t>IN001</t>
  </si>
  <si>
    <t>IN600</t>
  </si>
  <si>
    <t>IN004</t>
  </si>
  <si>
    <t>IN218</t>
  </si>
  <si>
    <t>IN406</t>
  </si>
  <si>
    <t>IN408</t>
  </si>
  <si>
    <t>IN209</t>
  </si>
  <si>
    <t>IN601</t>
  </si>
  <si>
    <t>IN602</t>
  </si>
  <si>
    <t>IN650</t>
  </si>
  <si>
    <t>IN006</t>
  </si>
  <si>
    <t>IN101</t>
  </si>
  <si>
    <t>IN107</t>
  </si>
  <si>
    <t>IN210</t>
  </si>
  <si>
    <t>IN412</t>
  </si>
  <si>
    <t>IN103</t>
  </si>
  <si>
    <t>IN008</t>
  </si>
  <si>
    <t>IN211</t>
  </si>
  <si>
    <t>IN350</t>
  </si>
  <si>
    <t>IN009</t>
  </si>
  <si>
    <t>IN104</t>
  </si>
  <si>
    <t>IN410</t>
  </si>
  <si>
    <t>Electivas: 8 créditos</t>
  </si>
  <si>
    <t>AD</t>
  </si>
  <si>
    <t>Ciencias Básicas</t>
  </si>
  <si>
    <t>NAV</t>
  </si>
  <si>
    <t>OF</t>
  </si>
  <si>
    <t>Ingeniería</t>
  </si>
  <si>
    <t>TOTAl CRÉDITOS PROGRAMA</t>
  </si>
  <si>
    <t>IN311</t>
  </si>
  <si>
    <t>IN016</t>
  </si>
  <si>
    <t>IN106</t>
  </si>
  <si>
    <t>81302</t>
  </si>
  <si>
    <t>81303</t>
  </si>
  <si>
    <t xml:space="preserve">OBSERVACIONES: </t>
  </si>
  <si>
    <t>CONTABILIDAD I</t>
  </si>
  <si>
    <t>ADMINISTRACION I</t>
  </si>
  <si>
    <t>CB117</t>
  </si>
  <si>
    <t>CÁLCULO  I</t>
  </si>
  <si>
    <t>CÁLCULO II</t>
  </si>
  <si>
    <t>CÁLCULO III</t>
  </si>
  <si>
    <t>CÁLCULO IV</t>
  </si>
  <si>
    <t>CB116</t>
  </si>
  <si>
    <t>MATEMÁTICA SUPERIOR</t>
  </si>
  <si>
    <t>FÍSICA MECÁNICA Y LABORATORIO</t>
  </si>
  <si>
    <t>FÍSICA CALOR Y ONDAS Y LABORATORIO</t>
  </si>
  <si>
    <t>FÍSICA ELÉCTRICA Y LABORATORIO</t>
  </si>
  <si>
    <t>INFORMÁTICA I</t>
  </si>
  <si>
    <t>ÁLGEBRA LINEAL</t>
  </si>
  <si>
    <t>ESTADÍSTICA I</t>
  </si>
  <si>
    <t>CB121</t>
  </si>
  <si>
    <t>ESTADÍSTICA II</t>
  </si>
  <si>
    <t>MARINERÍA I</t>
  </si>
  <si>
    <t>MANIOBRAS I</t>
  </si>
  <si>
    <t>HISTORIA NAVAL</t>
  </si>
  <si>
    <t>METODOLOGÍA DE INVESTIGACIÓN</t>
  </si>
  <si>
    <t>ÉTICA III</t>
  </si>
  <si>
    <t>INDIOMAS VI</t>
  </si>
  <si>
    <t>CS200</t>
  </si>
  <si>
    <t>TECNICA DE EXPRESION ORAL Y ESCRITA I</t>
  </si>
  <si>
    <t>CS216</t>
  </si>
  <si>
    <t>TECNICA DE EXPRESION ORAL Y ESCRITA II</t>
  </si>
  <si>
    <t>OCEANOGRAFÍA GENERAL</t>
  </si>
  <si>
    <t>DIBUJO NAVAL</t>
  </si>
  <si>
    <t>ESTÁTICA</t>
  </si>
  <si>
    <t>IN014</t>
  </si>
  <si>
    <t>MATERIALES DE INGENIERIA  Y LABORATORIO</t>
  </si>
  <si>
    <t xml:space="preserve">SISTEMA DE INGENIERIA NAVAL </t>
  </si>
  <si>
    <t>ESTABILIDAD I</t>
  </si>
  <si>
    <t>HERRAMIENTAS COMPUTACIONALES</t>
  </si>
  <si>
    <t>IN243</t>
  </si>
  <si>
    <t>GESTION DE ACTIVOS  Y MANTENIMIENTO I</t>
  </si>
  <si>
    <t>CONTROL DE AVERÍAS Y PRÁCTICAS</t>
  </si>
  <si>
    <t>ELECTRICIDAD APLICADA Y LABORATORIO</t>
  </si>
  <si>
    <t>IN314</t>
  </si>
  <si>
    <t>MAQUINARIA ELÉCTRICA Y LABORATORIO</t>
  </si>
  <si>
    <t>ARQUITECTURA NAVAL</t>
  </si>
  <si>
    <t>DINÁMICA</t>
  </si>
  <si>
    <t>MECÁNICA DE SOLIDOS I</t>
  </si>
  <si>
    <t>MECÁNICA DE FLUIDOS</t>
  </si>
  <si>
    <t>PROCESOS DE FABRICACIÓN</t>
  </si>
  <si>
    <t>TERMODINÁMICA</t>
  </si>
  <si>
    <t>RESISTENCIA AL AVANCE</t>
  </si>
  <si>
    <t>IN116</t>
  </si>
  <si>
    <t>TRANSFERENCIA DE CALOR</t>
  </si>
  <si>
    <t>IN233</t>
  </si>
  <si>
    <t>DISEÑO MECÁNICO I</t>
  </si>
  <si>
    <t>ESTRUCTURA DE BUQUE</t>
  </si>
  <si>
    <t>IN512</t>
  </si>
  <si>
    <t>AUTOMATIZACIÓN INDUSTRIAL NAVAL</t>
  </si>
  <si>
    <t>IN203</t>
  </si>
  <si>
    <t>REFRIGERACIÓN Y AIRE ACONDICIONADO</t>
  </si>
  <si>
    <t>INSTALACIONES ELÉCTRICAS NAVALES</t>
  </si>
  <si>
    <t>IN032</t>
  </si>
  <si>
    <t>TEORIA DEL BUQUE</t>
  </si>
  <si>
    <t>IN036</t>
  </si>
  <si>
    <t>GESTION DE ACTIVOS  Y MANTENIMIENTO II</t>
  </si>
  <si>
    <t>IN244</t>
  </si>
  <si>
    <t>DINAMICA DEL BUQUE</t>
  </si>
  <si>
    <t>IN952</t>
  </si>
  <si>
    <t>ELECTIVA II</t>
  </si>
  <si>
    <t>IN961</t>
  </si>
  <si>
    <t>ELECTIVA III</t>
  </si>
  <si>
    <t>IN951</t>
  </si>
  <si>
    <t>ELECTIVA I</t>
  </si>
  <si>
    <t>PROCESOS ADMINISTRATIVOS</t>
  </si>
  <si>
    <t>ADMINISTRACIÓN GENERAL</t>
  </si>
  <si>
    <t>PRINCIPIOS DE CONTABILIDAD</t>
  </si>
  <si>
    <t>FUNDAMENTOS DE MATEMÁTICAS</t>
  </si>
  <si>
    <t>MATEMÁTICAS I</t>
  </si>
  <si>
    <t>CÁLCULO DIFERENCIAL</t>
  </si>
  <si>
    <t>MATEMÁTICAS II</t>
  </si>
  <si>
    <t>CÁLCULO INTEGRAL</t>
  </si>
  <si>
    <t>FÍSICA MECÁNICA</t>
  </si>
  <si>
    <t>ESTADÍSTICA INFERENCIAL</t>
  </si>
  <si>
    <t>INFORMÁTICA</t>
  </si>
  <si>
    <t>ESTADÍSTICA DESCRIPTIVA Y PROBABILIDAD</t>
  </si>
  <si>
    <t>MARINERÍA</t>
  </si>
  <si>
    <t>MANIOBRAS</t>
  </si>
  <si>
    <t>IDIOMAS VI</t>
  </si>
  <si>
    <t>INGLÉS NIVEL 8</t>
  </si>
  <si>
    <t>INGLÉS NIVEL 7</t>
  </si>
  <si>
    <t>ETICA MILITAR (ETICA PROFESIONAL)</t>
  </si>
  <si>
    <t>ÉTICA PROFESIONAL</t>
  </si>
  <si>
    <t>INVESTIGACIÓN FORMATIVA I</t>
  </si>
  <si>
    <t>INVESTIGACIÓN FORMATIVA II</t>
  </si>
  <si>
    <t>EPISTEMOLOGÍA</t>
  </si>
  <si>
    <t>INVESTIGACIÓN FORMATIVA III</t>
  </si>
  <si>
    <t>METODOLOGÍA DE ESTUDIO</t>
  </si>
  <si>
    <t>MAQUINARÍA NAVAL</t>
  </si>
  <si>
    <t>ESTABILIDAD</t>
  </si>
  <si>
    <t>FUNDAMENTOS DE ESTABILIDAD</t>
  </si>
  <si>
    <t>MOTORES</t>
  </si>
  <si>
    <t>FUNDAMENTOS DE MOTORES</t>
  </si>
  <si>
    <t>INTRODUCCIÓN A LA OCEANOGRAFÍA FÍSICA</t>
  </si>
  <si>
    <t>CALCULO VECTORIAL (III)</t>
  </si>
  <si>
    <t>ECUACIONES DIFERENCIALES</t>
  </si>
  <si>
    <t>FÍSICA CALOR Y ONDAS (II)</t>
  </si>
  <si>
    <t>QUÍMICA APLICADA</t>
  </si>
  <si>
    <t>DESCRIPTIVA Y DIBUJO</t>
  </si>
  <si>
    <t>METALURGIA</t>
  </si>
  <si>
    <t>PRINCIPIOS DE MANTENIMIENTO</t>
  </si>
  <si>
    <t>MECÁNICA DE SÓLIDOS II</t>
  </si>
  <si>
    <t>ACCIONAMIENTOS ELÉCTRICOS</t>
  </si>
  <si>
    <t>DISEÑO MECÁNICO II</t>
  </si>
  <si>
    <t>INGLES</t>
  </si>
  <si>
    <t>INGLES NIVEL 2</t>
  </si>
  <si>
    <t>INGLES NIVEL 3</t>
  </si>
  <si>
    <t>INGLES NIVEL 4</t>
  </si>
  <si>
    <t>INGLES NIVEL 5</t>
  </si>
  <si>
    <t>INGLES NIVEL 6</t>
  </si>
  <si>
    <t>INGLES NIVEL 8</t>
  </si>
  <si>
    <t>IDIOMAS III</t>
  </si>
  <si>
    <t>IDIOMAS IV</t>
  </si>
  <si>
    <t>INGLES NIVEL 7</t>
  </si>
  <si>
    <t>IDIOMAS V</t>
  </si>
  <si>
    <t>IDIOMAS I</t>
  </si>
  <si>
    <t>IN005</t>
  </si>
  <si>
    <t>CÁLCULO I</t>
  </si>
  <si>
    <t>ENSAYO DE MATERIALES</t>
  </si>
  <si>
    <t>Periodo Actual</t>
  </si>
  <si>
    <t>2026 - 1                         Académico   Normal..</t>
  </si>
  <si>
    <t>Código</t>
  </si>
  <si>
    <t>2120010048  N° Ident.  1005328713  Sexo  Masculino</t>
  </si>
  <si>
    <t>Apellidos</t>
  </si>
  <si>
    <t>PUERTO FLOREZ</t>
  </si>
  <si>
    <t>Nombre</t>
  </si>
  <si>
    <t>ANDRES FELIPE</t>
  </si>
  <si>
    <t>E-mail</t>
  </si>
  <si>
    <t>notengo@hotmail.com</t>
  </si>
  <si>
    <t>Programa</t>
  </si>
  <si>
    <t>CIENCIAS NAVALES PARA OFICIALES NAVALES  Sem: 10</t>
  </si>
  <si>
    <t>Reforma Pensum</t>
  </si>
  <si>
    <t>2026 - 1 - CCPCN</t>
  </si>
  <si>
    <t>Item</t>
  </si>
  <si>
    <t>Materia</t>
  </si>
  <si>
    <t>Crd</t>
  </si>
  <si>
    <t>1P</t>
  </si>
  <si>
    <t>2P</t>
  </si>
  <si>
    <t>3P</t>
  </si>
  <si>
    <t>4P</t>
  </si>
  <si>
    <t>Def</t>
  </si>
  <si>
    <t>Hab</t>
  </si>
  <si>
    <t>Final</t>
  </si>
  <si>
    <t>ETICA PROFESIONAL</t>
  </si>
  <si>
    <t>.000</t>
  </si>
  <si>
    <t>IM213</t>
  </si>
  <si>
    <t>INTELIGENCIA BÁ...</t>
  </si>
  <si>
    <t>INVESTIGACION F...</t>
  </si>
  <si>
    <t>CN900</t>
  </si>
  <si>
    <t>OPTATIVA I</t>
  </si>
  <si>
    <t>AM407</t>
  </si>
  <si>
    <t>PRESUPUESTO Y T...</t>
  </si>
  <si>
    <t>CS119</t>
  </si>
  <si>
    <t>PROCED. DISCIPL...</t>
  </si>
  <si>
    <t>PROCESOS ADMINI...</t>
  </si>
  <si>
    <t>AM601</t>
  </si>
  <si>
    <t>REGIMEN FISCAL ...</t>
  </si>
  <si>
    <t>Materias</t>
  </si>
  <si>
    <t>Creditos</t>
  </si>
  <si>
    <t>Cursadas</t>
  </si>
  <si>
    <t>Aprobadas</t>
  </si>
  <si>
    <t>Perdidas</t>
  </si>
  <si>
    <t>Matriculados</t>
  </si>
  <si>
    <t>Aprobados</t>
  </si>
  <si>
    <t>Perdidos</t>
  </si>
  <si>
    <t>Del Semestre</t>
  </si>
  <si>
    <t>8.0</t>
  </si>
  <si>
    <t>3.0</t>
  </si>
  <si>
    <t>0.0</t>
  </si>
  <si>
    <t>12.0</t>
  </si>
  <si>
    <t>4.0</t>
  </si>
  <si>
    <t>Acumulados</t>
  </si>
  <si>
    <t>47.0</t>
  </si>
  <si>
    <t>34.0</t>
  </si>
  <si>
    <t>80.0</t>
  </si>
  <si>
    <t>61.0</t>
  </si>
  <si>
    <t>11.0</t>
  </si>
  <si>
    <t>Promedio Ponderado</t>
  </si>
  <si>
    <t>Acumulado</t>
  </si>
  <si>
    <t>2025 - 2 - COMISION ALEMANIA PUERTO FLOREZ ANDRES FELIPE - CADENA SANABRIA JULIAN DAVID</t>
  </si>
  <si>
    <t>CN312</t>
  </si>
  <si>
    <t>COMUNICACIONES II</t>
  </si>
  <si>
    <t>1.0</t>
  </si>
  <si>
    <t>39.0</t>
  </si>
  <si>
    <t>31.0</t>
  </si>
  <si>
    <t>68.0</t>
  </si>
  <si>
    <t>57.0</t>
  </si>
  <si>
    <t>2025 - 1 - COMISION ALEMANIA PUERTO FLOREZ ANDRES FELIPE - CADENA SANABRIA JULIAN DAVID</t>
  </si>
  <si>
    <t>2.0</t>
  </si>
  <si>
    <t>38.0</t>
  </si>
  <si>
    <t>7.0</t>
  </si>
  <si>
    <t>2024 - 2 - COMISION ALEMANIA PUERTO FLOREZ ANDRES FELIPE - CADENA SANABRIA JULIAN DAVID</t>
  </si>
  <si>
    <t>CN134</t>
  </si>
  <si>
    <t>OPTATIVA III</t>
  </si>
  <si>
    <t>CN135</t>
  </si>
  <si>
    <t>OPTATIVA IV</t>
  </si>
  <si>
    <t>37.0</t>
  </si>
  <si>
    <t>6.0</t>
  </si>
  <si>
    <t>66.0</t>
  </si>
  <si>
    <t>9.0</t>
  </si>
  <si>
    <t>2024 - 1 - COMISION ALEMANA CADENA SANABRIA JULIAN DAVID - PUERTO FLOREZ ANDRES FELIPE</t>
  </si>
  <si>
    <t>35.0</t>
  </si>
  <si>
    <t>29.0</t>
  </si>
  <si>
    <t>64.0</t>
  </si>
  <si>
    <t>55.0</t>
  </si>
  <si>
    <t>2023 - 2 - COMISION ALEMANIA PUERTO FLOREZ ANDRES - CADENA SANABRIA JULIAN</t>
  </si>
  <si>
    <t>FUNDAMENTOS DE ...</t>
  </si>
  <si>
    <t>CN133</t>
  </si>
  <si>
    <t>OPTATIVA II</t>
  </si>
  <si>
    <t>CN404</t>
  </si>
  <si>
    <t>SISTEMA DE ARMA...</t>
  </si>
  <si>
    <t>5.0</t>
  </si>
  <si>
    <t>62.0</t>
  </si>
  <si>
    <t>2023 - 1 - COMISION ALEMANIA PUERTO FLOREZ ANDRES - CADENA SANABRIA JULIAN</t>
  </si>
  <si>
    <t>28.0</t>
  </si>
  <si>
    <t>27.0</t>
  </si>
  <si>
    <t>54.0</t>
  </si>
  <si>
    <t>2022 - 2 - 2.1B</t>
  </si>
  <si>
    <t>CS103</t>
  </si>
  <si>
    <t>DERECHO DEL MAR...</t>
  </si>
  <si>
    <t>CS118</t>
  </si>
  <si>
    <t>DERECHO PENAL M...</t>
  </si>
  <si>
    <t>ESTADISTICA DES...</t>
  </si>
  <si>
    <t>FISICA MECANICA</t>
  </si>
  <si>
    <t>CS315</t>
  </si>
  <si>
    <t>IDIOMAS II</t>
  </si>
  <si>
    <t>MATEMATICA II</t>
  </si>
  <si>
    <t>PRINCIPIOS DE C...</t>
  </si>
  <si>
    <t>19.0</t>
  </si>
  <si>
    <t>2022 - 1 - 1.2B</t>
  </si>
  <si>
    <t>ALGEBRA LINEAL</t>
  </si>
  <si>
    <t>INFORMATICA</t>
  </si>
  <si>
    <t>MATEMATICA I</t>
  </si>
  <si>
    <t>CN320</t>
  </si>
  <si>
    <t>NAVEGACION COSTERA</t>
  </si>
  <si>
    <t>CN200</t>
  </si>
  <si>
    <t>NOCIONES DE TAC...</t>
  </si>
  <si>
    <t>IM144</t>
  </si>
  <si>
    <t>OPERACIONES FLU...</t>
  </si>
  <si>
    <t>TECNICAS DE EXP...</t>
  </si>
  <si>
    <t>2021 - 2 - 1.1B</t>
  </si>
  <si>
    <t>CN310</t>
  </si>
  <si>
    <t>COMUNICACIONES ...</t>
  </si>
  <si>
    <t>CS112</t>
  </si>
  <si>
    <t>DERECHO CONSTIT...</t>
  </si>
  <si>
    <t>CS171</t>
  </si>
  <si>
    <t>DH Y DIH - CONF...</t>
  </si>
  <si>
    <t>CS400</t>
  </si>
  <si>
    <t>ETICA BASICA</t>
  </si>
  <si>
    <t>CS131</t>
  </si>
  <si>
    <t>CN400</t>
  </si>
  <si>
    <t>FUNDAMENTO SIST...</t>
  </si>
  <si>
    <t>MARINERIA</t>
  </si>
  <si>
    <t>CN101</t>
  </si>
  <si>
    <t>ORIENTACION NAVAL</t>
  </si>
  <si>
    <t>IM232</t>
  </si>
  <si>
    <t>PRINCIPIOS ARMA...</t>
  </si>
  <si>
    <t>10.0</t>
  </si>
  <si>
    <t>16.0</t>
  </si>
  <si>
    <t>SDFSDF DSFSDF</t>
  </si>
  <si>
    <t>ASD ASDA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</si>
</sst>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0.000"/>
  </numFmts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9"/>
      <color theme="0"/>
      <name val="Aptos Display"/>
      <family val="2"/>
      <scheme val="major"/>
    </font>
    <font>
      <sz val="9"/>
      <color theme="1"/>
      <name val="Aptos Display"/>
      <family val="2"/>
      <scheme val="major"/>
    </font>
    <font>
      <b/>
      <sz val="9"/>
      <color theme="1"/>
      <name val="Aptos Display"/>
      <family val="2"/>
      <scheme val="major"/>
    </font>
    <font>
      <sz val="8"/>
      <color theme="1"/>
      <name val="Aptos Display"/>
      <family val="2"/>
      <scheme val="major"/>
    </font>
    <font>
      <b/>
      <sz val="8"/>
      <color theme="1"/>
      <name val="Aptos Display"/>
      <family val="2"/>
      <scheme val="major"/>
    </font>
    <font>
      <sz val="7"/>
      <name val="Aptos Display"/>
      <family val="2"/>
      <scheme val="major"/>
    </font>
    <font>
      <b/>
      <sz val="7"/>
      <name val="Aptos Display"/>
      <family val="2"/>
      <scheme val="major"/>
    </font>
    <font>
      <b/>
      <sz val="10"/>
      <color theme="1"/>
      <name val="Aptos Display"/>
      <family val="2"/>
      <scheme val="major"/>
    </font>
    <font>
      <sz val="10"/>
      <color theme="1"/>
      <name val="Aptos Display"/>
      <family val="2"/>
      <scheme val="major"/>
    </font>
    <font>
      <b/>
      <sz val="8.5"/>
      <color theme="1"/>
      <name val="Aptos Display"/>
      <family val="2"/>
      <scheme val="major"/>
    </font>
    <font>
      <u/>
      <sz val="9"/>
      <color theme="1"/>
      <name val="Aptos Display"/>
      <family val="2"/>
      <scheme val="major"/>
    </font>
    <font>
      <sz val="9"/>
      <name val="Aptos Display"/>
      <family val="2"/>
      <scheme val="major"/>
    </font>
    <font>
      <u/>
      <sz val="9"/>
      <name val="Aptos Display"/>
      <family val="2"/>
      <scheme val="major"/>
    </font>
    <font>
      <b/>
      <sz val="16"/>
      <color theme="1"/>
      <name val="Aptos Display"/>
      <family val="2"/>
      <scheme val="major"/>
    </font>
  </fonts>
  <fills count="8">
    <fill>
      <patternFill patternType="none"/>
    </fill>
    <fill>
      <patternFill patternType="gray125"/>
    </fill>
    <fill>
      <patternFill patternType="solid">
        <fgColor rgb="FFE2EEF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rgb="FFFFFF00"/>
        <bgColor indexed="64"/>
      </patternFill>
    </fill>
  </fills>
  <borders count="71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/>
      <top/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/>
      <right style="thin">
        <color indexed="64"/>
      </right>
      <top/>
      <bottom style="thin">
        <color theme="0" tint="-4.9989318521683403E-2"/>
      </bottom>
      <diagonal/>
    </border>
    <border>
      <left style="thin">
        <color indexed="64"/>
      </left>
      <right/>
      <top style="thin">
        <color indexed="64"/>
      </top>
      <bottom style="thin">
        <color theme="0" tint="-4.9989318521683403E-2"/>
      </bottom>
      <diagonal/>
    </border>
    <border>
      <left/>
      <right/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indexed="64"/>
      </bottom>
      <diagonal/>
    </border>
    <border>
      <left/>
      <right/>
      <top style="thin">
        <color theme="0" tint="-4.9989318521683403E-2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theme="0" tint="-4.9989318521683403E-2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 style="thin">
        <color theme="0" tint="-4.9989318521683403E-2"/>
      </top>
      <bottom/>
      <diagonal/>
    </border>
    <border>
      <left/>
      <right style="thin">
        <color indexed="64"/>
      </right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/>
      <top style="thin">
        <color theme="3" tint="0.749992370372631"/>
      </top>
      <bottom/>
      <diagonal/>
    </border>
    <border>
      <left style="thin">
        <color theme="3" tint="0.749992370372631"/>
      </left>
      <right/>
      <top style="thin">
        <color theme="3" tint="0.749992370372631"/>
      </top>
      <bottom/>
      <diagonal/>
    </border>
    <border>
      <left style="thin">
        <color theme="3" tint="0.749992370372631"/>
      </left>
      <right/>
      <top/>
      <bottom/>
      <diagonal/>
    </border>
    <border>
      <left/>
      <right style="thin">
        <color theme="3" tint="0.749992370372631"/>
      </right>
      <top style="thin">
        <color theme="3" tint="0.749992370372631"/>
      </top>
      <bottom/>
      <diagonal/>
    </border>
    <border>
      <left/>
      <right style="thin">
        <color theme="3" tint="0.749992370372631"/>
      </right>
      <top/>
      <bottom/>
      <diagonal/>
    </border>
    <border>
      <left style="thin">
        <color theme="3" tint="0.749992370372631"/>
      </left>
      <right/>
      <top/>
      <bottom style="thin">
        <color theme="3" tint="0.749992370372631"/>
      </bottom>
      <diagonal/>
    </border>
    <border>
      <left/>
      <right/>
      <top/>
      <bottom style="thin">
        <color theme="3" tint="0.749992370372631"/>
      </bottom>
      <diagonal/>
    </border>
    <border>
      <left/>
      <right style="thin">
        <color theme="3" tint="0.749992370372631"/>
      </right>
      <top/>
      <bottom style="thin">
        <color theme="3" tint="0.74999237037263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77111117893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theme="0" tint="-0.249977111117893"/>
      </top>
      <bottom/>
      <diagonal/>
    </border>
    <border>
      <left style="thin">
        <color indexed="64"/>
      </left>
      <right/>
      <top style="thin">
        <color theme="0" tint="-0.249977111117893"/>
      </top>
      <bottom style="thin">
        <color theme="0" tint="-4.9989318521683403E-2"/>
      </bottom>
      <diagonal/>
    </border>
    <border>
      <left/>
      <right style="thin">
        <color indexed="64"/>
      </right>
      <top style="thin">
        <color theme="0" tint="-0.249977111117893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theme="0" tint="-0.249977111117893"/>
      </top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0.249977111117893"/>
      </top>
      <bottom/>
      <diagonal/>
    </border>
    <border>
      <left/>
      <right style="thin">
        <color indexed="64"/>
      </right>
      <top style="thin">
        <color theme="0" tint="-0.249977111117893"/>
      </top>
      <bottom/>
      <diagonal/>
    </border>
    <border>
      <left style="thin">
        <color indexed="64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theme="0" tint="-0.249977111117893"/>
      </top>
      <bottom style="thin">
        <color theme="0" tint="-0.249977111117893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/>
  </cellStyleXfs>
  <cellXfs count="217">
    <xf numFmtId="0" fontId="0" fillId="0" borderId="0" xfId="0"/>
    <xf numFmtId="3" fontId="0" fillId="0" borderId="0" xfId="0" applyNumberFormat="1"/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0" fillId="4" borderId="0" xfId="0" applyFill="1" applyAlignment="1">
      <alignment vertical="center"/>
    </xf>
    <xf numFmtId="0" fontId="0" fillId="4" borderId="0" xfId="0" applyFill="1" applyAlignment="1">
      <alignment horizontal="center" vertical="center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vertical="center"/>
      <protection locked="0"/>
    </xf>
    <xf numFmtId="0" fontId="8" fillId="0" borderId="0" xfId="0" applyFont="1" applyAlignment="1">
      <alignment horizontal="center" vertical="center"/>
    </xf>
    <xf numFmtId="1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8" fillId="0" borderId="27" xfId="0" applyFont="1" applyBorder="1" applyAlignment="1">
      <alignment horizontal="center" vertical="center"/>
    </xf>
    <xf numFmtId="0" fontId="8" fillId="0" borderId="27" xfId="0" applyFont="1" applyBorder="1" applyAlignment="1">
      <alignment horizontal="left" vertical="center"/>
    </xf>
    <xf numFmtId="1" fontId="8" fillId="0" borderId="27" xfId="0" applyNumberFormat="1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1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2" xfId="0" applyFont="1" applyBorder="1" applyAlignment="1">
      <alignment vertical="center"/>
    </xf>
    <xf numFmtId="0" fontId="13" fillId="0" borderId="0" xfId="0" applyFont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left" vertical="center"/>
    </xf>
    <xf numFmtId="1" fontId="6" fillId="5" borderId="0" xfId="0" applyNumberFormat="1" applyFont="1" applyFill="1" applyAlignment="1">
      <alignment horizontal="center" vertical="center"/>
    </xf>
    <xf numFmtId="0" fontId="6" fillId="0" borderId="47" xfId="0" applyFont="1" applyBorder="1" applyAlignment="1">
      <alignment horizontal="center" vertical="center"/>
    </xf>
    <xf numFmtId="0" fontId="6" fillId="0" borderId="47" xfId="0" applyFont="1" applyBorder="1" applyAlignment="1">
      <alignment horizontal="left" vertical="center"/>
    </xf>
    <xf numFmtId="1" fontId="6" fillId="0" borderId="47" xfId="0" applyNumberFormat="1" applyFont="1" applyBorder="1" applyAlignment="1">
      <alignment horizontal="center" vertical="center"/>
    </xf>
    <xf numFmtId="0" fontId="6" fillId="0" borderId="48" xfId="0" applyFont="1" applyBorder="1" applyAlignment="1">
      <alignment horizontal="center" vertical="center"/>
    </xf>
    <xf numFmtId="0" fontId="6" fillId="0" borderId="49" xfId="0" applyFont="1" applyBorder="1" applyAlignment="1">
      <alignment horizontal="center" vertical="center"/>
    </xf>
    <xf numFmtId="0" fontId="6" fillId="0" borderId="50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vertical="center"/>
    </xf>
    <xf numFmtId="0" fontId="6" fillId="0" borderId="52" xfId="0" applyFont="1" applyBorder="1" applyAlignment="1">
      <alignment horizontal="center" vertical="center"/>
    </xf>
    <xf numFmtId="0" fontId="6" fillId="0" borderId="53" xfId="0" applyFont="1" applyBorder="1" applyAlignment="1">
      <alignment horizontal="center" vertical="center"/>
    </xf>
    <xf numFmtId="0" fontId="6" fillId="0" borderId="53" xfId="0" applyFont="1" applyBorder="1" applyAlignment="1">
      <alignment horizontal="left" vertical="center"/>
    </xf>
    <xf numFmtId="1" fontId="6" fillId="0" borderId="53" xfId="0" applyNumberFormat="1" applyFont="1" applyBorder="1" applyAlignment="1">
      <alignment horizontal="center" vertical="center"/>
    </xf>
    <xf numFmtId="0" fontId="6" fillId="0" borderId="54" xfId="0" applyFont="1" applyBorder="1" applyAlignment="1">
      <alignment horizontal="center" vertical="center"/>
    </xf>
    <xf numFmtId="15" fontId="10" fillId="0" borderId="0" xfId="0" applyNumberFormat="1" applyFont="1" applyAlignment="1">
      <alignment horizontal="left" vertical="top" indent="1"/>
    </xf>
    <xf numFmtId="0" fontId="6" fillId="6" borderId="0" xfId="0" applyFont="1" applyFill="1" applyAlignment="1">
      <alignment horizontal="center" vertical="center"/>
    </xf>
    <xf numFmtId="0" fontId="8" fillId="0" borderId="1" xfId="0" applyFont="1" applyBorder="1" applyAlignment="1">
      <alignment horizontal="left" vertical="center" indent="1"/>
    </xf>
    <xf numFmtId="0" fontId="8" fillId="0" borderId="20" xfId="0" applyFont="1" applyBorder="1" applyAlignment="1">
      <alignment horizontal="left" vertical="center" indent="1"/>
    </xf>
    <xf numFmtId="0" fontId="8" fillId="0" borderId="1" xfId="0" applyFont="1" applyBorder="1" applyAlignment="1">
      <alignment horizontal="center" vertical="center"/>
    </xf>
    <xf numFmtId="15" fontId="10" fillId="0" borderId="0" xfId="0" applyNumberFormat="1" applyFont="1" applyAlignment="1">
      <alignment horizontal="center" vertical="top"/>
    </xf>
    <xf numFmtId="0" fontId="15" fillId="0" borderId="47" xfId="0" applyFont="1" applyBorder="1" applyAlignment="1">
      <alignment horizontal="left" vertical="center"/>
    </xf>
    <xf numFmtId="0" fontId="8" fillId="0" borderId="24" xfId="0" applyFont="1" applyBorder="1" applyAlignment="1">
      <alignment horizontal="center" vertical="center"/>
    </xf>
    <xf numFmtId="14" fontId="8" fillId="0" borderId="39" xfId="0" applyNumberFormat="1" applyFont="1" applyBorder="1" applyAlignment="1">
      <alignment horizontal="center" vertical="center"/>
    </xf>
    <xf numFmtId="0" fontId="7" fillId="2" borderId="25" xfId="0" applyFont="1" applyFill="1" applyBorder="1" applyAlignment="1">
      <alignment horizontal="center" vertical="center"/>
    </xf>
    <xf numFmtId="1" fontId="7" fillId="2" borderId="18" xfId="0" applyNumberFormat="1" applyFont="1" applyFill="1" applyBorder="1" applyAlignment="1">
      <alignment horizontal="center" vertical="center"/>
    </xf>
    <xf numFmtId="0" fontId="7" fillId="2" borderId="18" xfId="0" applyFont="1" applyFill="1" applyBorder="1" applyAlignment="1">
      <alignment horizontal="center" vertical="center"/>
    </xf>
    <xf numFmtId="0" fontId="16" fillId="0" borderId="32" xfId="2" applyFont="1" applyBorder="1" applyAlignment="1">
      <alignment horizontal="center" vertical="center"/>
    </xf>
    <xf numFmtId="0" fontId="16" fillId="0" borderId="39" xfId="1" applyNumberFormat="1" applyFont="1" applyBorder="1" applyAlignment="1">
      <alignment vertical="center"/>
    </xf>
    <xf numFmtId="0" fontId="16" fillId="0" borderId="28" xfId="2" applyFont="1" applyBorder="1" applyAlignment="1">
      <alignment horizontal="center" vertical="center"/>
    </xf>
    <xf numFmtId="1" fontId="16" fillId="0" borderId="28" xfId="2" applyNumberFormat="1" applyFont="1" applyBorder="1" applyAlignment="1">
      <alignment horizontal="center" vertical="center"/>
    </xf>
    <xf numFmtId="164" fontId="16" fillId="0" borderId="28" xfId="2" applyNumberFormat="1" applyFont="1" applyBorder="1" applyAlignment="1">
      <alignment horizontal="center" vertical="center"/>
    </xf>
    <xf numFmtId="164" fontId="6" fillId="0" borderId="28" xfId="0" applyNumberFormat="1" applyFont="1" applyBorder="1" applyAlignment="1">
      <alignment horizontal="center" vertical="center"/>
    </xf>
    <xf numFmtId="0" fontId="16" fillId="0" borderId="35" xfId="2" applyFont="1" applyBorder="1" applyAlignment="1">
      <alignment horizontal="center" vertical="center"/>
    </xf>
    <xf numFmtId="0" fontId="16" fillId="0" borderId="42" xfId="1" applyNumberFormat="1" applyFont="1" applyBorder="1" applyAlignment="1">
      <alignment vertical="center"/>
    </xf>
    <xf numFmtId="0" fontId="16" fillId="0" borderId="34" xfId="2" applyFont="1" applyBorder="1" applyAlignment="1">
      <alignment horizontal="center" vertical="center"/>
    </xf>
    <xf numFmtId="1" fontId="16" fillId="0" borderId="34" xfId="2" applyNumberFormat="1" applyFont="1" applyBorder="1" applyAlignment="1">
      <alignment horizontal="center" vertical="center"/>
    </xf>
    <xf numFmtId="164" fontId="16" fillId="0" borderId="34" xfId="2" applyNumberFormat="1" applyFont="1" applyBorder="1" applyAlignment="1">
      <alignment horizontal="center" vertical="center"/>
    </xf>
    <xf numFmtId="164" fontId="6" fillId="0" borderId="34" xfId="0" applyNumberFormat="1" applyFont="1" applyBorder="1" applyAlignment="1">
      <alignment horizontal="center" vertical="center"/>
    </xf>
    <xf numFmtId="0" fontId="16" fillId="0" borderId="44" xfId="2" applyFont="1" applyBorder="1" applyAlignment="1">
      <alignment horizontal="center" vertical="center"/>
    </xf>
    <xf numFmtId="0" fontId="16" fillId="0" borderId="45" xfId="1" applyNumberFormat="1" applyFont="1" applyBorder="1" applyAlignment="1">
      <alignment vertical="center"/>
    </xf>
    <xf numFmtId="164" fontId="16" fillId="0" borderId="57" xfId="2" applyNumberFormat="1" applyFont="1" applyBorder="1" applyAlignment="1">
      <alignment horizontal="center" vertical="center"/>
    </xf>
    <xf numFmtId="164" fontId="6" fillId="0" borderId="57" xfId="0" applyNumberFormat="1" applyFont="1" applyBorder="1" applyAlignment="1">
      <alignment horizontal="center" vertical="center"/>
    </xf>
    <xf numFmtId="0" fontId="16" fillId="0" borderId="36" xfId="2" applyFont="1" applyBorder="1" applyAlignment="1">
      <alignment horizontal="center" vertical="center"/>
    </xf>
    <xf numFmtId="1" fontId="16" fillId="0" borderId="36" xfId="2" applyNumberFormat="1" applyFont="1" applyBorder="1" applyAlignment="1">
      <alignment horizontal="center" vertical="center"/>
    </xf>
    <xf numFmtId="164" fontId="16" fillId="0" borderId="36" xfId="2" applyNumberFormat="1" applyFont="1" applyBorder="1" applyAlignment="1">
      <alignment horizontal="center" vertical="center"/>
    </xf>
    <xf numFmtId="164" fontId="6" fillId="0" borderId="36" xfId="0" applyNumberFormat="1" applyFont="1" applyBorder="1" applyAlignment="1">
      <alignment horizontal="center" vertical="center"/>
    </xf>
    <xf numFmtId="44" fontId="16" fillId="0" borderId="32" xfId="1" applyFont="1" applyBorder="1" applyAlignment="1">
      <alignment vertical="center"/>
    </xf>
    <xf numFmtId="44" fontId="16" fillId="0" borderId="35" xfId="1" applyFont="1" applyBorder="1" applyAlignment="1">
      <alignment vertical="center"/>
    </xf>
    <xf numFmtId="44" fontId="16" fillId="0" borderId="44" xfId="1" applyFont="1" applyBorder="1" applyAlignment="1">
      <alignment vertical="center"/>
    </xf>
    <xf numFmtId="0" fontId="11" fillId="5" borderId="0" xfId="0" applyFont="1" applyFill="1" applyAlignment="1">
      <alignment horizontal="center" vertical="center" textRotation="90" wrapText="1"/>
    </xf>
    <xf numFmtId="0" fontId="11" fillId="0" borderId="47" xfId="0" applyFont="1" applyBorder="1" applyAlignment="1">
      <alignment horizontal="center" vertical="center" textRotation="90" wrapText="1"/>
    </xf>
    <xf numFmtId="0" fontId="11" fillId="0" borderId="0" xfId="0" applyFont="1" applyAlignment="1">
      <alignment horizontal="center" vertical="center" textRotation="90" wrapText="1"/>
    </xf>
    <xf numFmtId="0" fontId="11" fillId="0" borderId="27" xfId="0" applyFont="1" applyBorder="1" applyAlignment="1">
      <alignment horizontal="center" vertical="center" textRotation="90" wrapText="1"/>
    </xf>
    <xf numFmtId="0" fontId="11" fillId="0" borderId="53" xfId="0" applyFont="1" applyBorder="1" applyAlignment="1">
      <alignment horizontal="center" vertical="center" textRotation="90" wrapText="1"/>
    </xf>
    <xf numFmtId="0" fontId="3" fillId="0" borderId="16" xfId="0" applyFont="1" applyBorder="1" applyAlignment="1">
      <alignment vertical="center"/>
    </xf>
    <xf numFmtId="44" fontId="16" fillId="0" borderId="39" xfId="1" applyFont="1" applyBorder="1" applyAlignment="1">
      <alignment vertical="center"/>
    </xf>
    <xf numFmtId="44" fontId="16" fillId="0" borderId="42" xfId="1" applyFont="1" applyBorder="1" applyAlignment="1">
      <alignment vertical="center"/>
    </xf>
    <xf numFmtId="44" fontId="16" fillId="0" borderId="35" xfId="2" applyNumberFormat="1" applyFont="1" applyBorder="1" applyAlignment="1">
      <alignment horizontal="left" vertical="center"/>
    </xf>
    <xf numFmtId="44" fontId="17" fillId="0" borderId="42" xfId="1" applyFont="1" applyBorder="1" applyAlignment="1">
      <alignment vertical="center"/>
    </xf>
    <xf numFmtId="15" fontId="10" fillId="0" borderId="0" xfId="0" applyNumberFormat="1" applyFont="1" applyAlignment="1">
      <alignment horizontal="left" vertical="center" wrapText="1"/>
    </xf>
    <xf numFmtId="44" fontId="9" fillId="0" borderId="19" xfId="0" applyNumberFormat="1" applyFont="1" applyBorder="1" applyAlignment="1">
      <alignment horizontal="left" vertical="center"/>
    </xf>
    <xf numFmtId="0" fontId="16" fillId="0" borderId="59" xfId="2" applyFont="1" applyBorder="1" applyAlignment="1">
      <alignment horizontal="center" vertical="center"/>
    </xf>
    <xf numFmtId="44" fontId="16" fillId="0" borderId="59" xfId="1" applyFont="1" applyBorder="1" applyAlignment="1">
      <alignment vertical="center"/>
    </xf>
    <xf numFmtId="0" fontId="16" fillId="0" borderId="60" xfId="1" applyNumberFormat="1" applyFont="1" applyBorder="1" applyAlignment="1">
      <alignment vertical="center"/>
    </xf>
    <xf numFmtId="0" fontId="16" fillId="0" borderId="61" xfId="2" applyFont="1" applyBorder="1" applyAlignment="1">
      <alignment horizontal="center" vertical="center"/>
    </xf>
    <xf numFmtId="44" fontId="16" fillId="0" borderId="60" xfId="1" applyFont="1" applyBorder="1" applyAlignment="1">
      <alignment vertical="center"/>
    </xf>
    <xf numFmtId="1" fontId="16" fillId="0" borderId="61" xfId="2" applyNumberFormat="1" applyFont="1" applyBorder="1" applyAlignment="1">
      <alignment horizontal="center" vertical="center"/>
    </xf>
    <xf numFmtId="164" fontId="16" fillId="0" borderId="61" xfId="2" applyNumberFormat="1" applyFont="1" applyBorder="1" applyAlignment="1">
      <alignment horizontal="center" vertical="center"/>
    </xf>
    <xf numFmtId="164" fontId="6" fillId="0" borderId="61" xfId="0" applyNumberFormat="1" applyFont="1" applyBorder="1" applyAlignment="1">
      <alignment horizontal="center" vertical="center"/>
    </xf>
    <xf numFmtId="0" fontId="16" fillId="0" borderId="64" xfId="2" applyFont="1" applyBorder="1" applyAlignment="1">
      <alignment horizontal="center" vertical="center"/>
    </xf>
    <xf numFmtId="44" fontId="16" fillId="0" borderId="64" xfId="1" applyFont="1" applyBorder="1" applyAlignment="1">
      <alignment vertical="center"/>
    </xf>
    <xf numFmtId="0" fontId="16" fillId="0" borderId="65" xfId="1" applyNumberFormat="1" applyFont="1" applyBorder="1" applyAlignment="1">
      <alignment vertical="center"/>
    </xf>
    <xf numFmtId="0" fontId="16" fillId="0" borderId="66" xfId="2" applyFont="1" applyBorder="1" applyAlignment="1">
      <alignment horizontal="center" vertical="center"/>
    </xf>
    <xf numFmtId="44" fontId="16" fillId="0" borderId="65" xfId="1" applyFont="1" applyBorder="1" applyAlignment="1">
      <alignment vertical="center"/>
    </xf>
    <xf numFmtId="1" fontId="16" fillId="0" borderId="66" xfId="2" applyNumberFormat="1" applyFont="1" applyBorder="1" applyAlignment="1">
      <alignment horizontal="center" vertical="center"/>
    </xf>
    <xf numFmtId="164" fontId="16" fillId="0" borderId="66" xfId="2" applyNumberFormat="1" applyFont="1" applyBorder="1" applyAlignment="1">
      <alignment horizontal="center" vertical="center"/>
    </xf>
    <xf numFmtId="164" fontId="6" fillId="0" borderId="66" xfId="0" applyNumberFormat="1" applyFont="1" applyBorder="1" applyAlignment="1">
      <alignment horizontal="center" vertical="center"/>
    </xf>
    <xf numFmtId="0" fontId="16" fillId="0" borderId="67" xfId="2" applyFont="1" applyBorder="1" applyAlignment="1">
      <alignment horizontal="center" vertical="center"/>
    </xf>
    <xf numFmtId="44" fontId="16" fillId="0" borderId="67" xfId="1" applyFont="1" applyBorder="1" applyAlignment="1">
      <alignment vertical="center"/>
    </xf>
    <xf numFmtId="0" fontId="16" fillId="0" borderId="68" xfId="1" applyNumberFormat="1" applyFont="1" applyBorder="1" applyAlignment="1">
      <alignment vertical="center"/>
    </xf>
    <xf numFmtId="164" fontId="16" fillId="0" borderId="63" xfId="2" applyNumberFormat="1" applyFont="1" applyBorder="1" applyAlignment="1">
      <alignment horizontal="center" vertical="center"/>
    </xf>
    <xf numFmtId="164" fontId="6" fillId="0" borderId="63" xfId="0" applyNumberFormat="1" applyFont="1" applyBorder="1" applyAlignment="1">
      <alignment horizontal="center" vertical="center"/>
    </xf>
    <xf numFmtId="44" fontId="16" fillId="0" borderId="59" xfId="1" applyFont="1" applyFill="1" applyBorder="1" applyAlignment="1">
      <alignment vertical="center"/>
    </xf>
    <xf numFmtId="0" fontId="16" fillId="0" borderId="60" xfId="1" applyNumberFormat="1" applyFont="1" applyFill="1" applyBorder="1" applyAlignment="1">
      <alignment vertical="center"/>
    </xf>
    <xf numFmtId="44" fontId="16" fillId="0" borderId="60" xfId="1" applyFont="1" applyFill="1" applyBorder="1" applyAlignment="1">
      <alignment vertical="center"/>
    </xf>
    <xf numFmtId="0" fontId="9" fillId="5" borderId="62" xfId="0" applyFont="1" applyFill="1" applyBorder="1" applyAlignment="1">
      <alignment horizontal="center" vertical="center" textRotation="90" wrapText="1"/>
    </xf>
    <xf numFmtId="0" fontId="16" fillId="0" borderId="69" xfId="2" applyFont="1" applyBorder="1" applyAlignment="1">
      <alignment horizontal="center" vertical="center"/>
    </xf>
    <xf numFmtId="44" fontId="16" fillId="0" borderId="69" xfId="1" applyFont="1" applyFill="1" applyBorder="1" applyAlignment="1">
      <alignment vertical="center"/>
    </xf>
    <xf numFmtId="0" fontId="16" fillId="0" borderId="70" xfId="1" applyNumberFormat="1" applyFont="1" applyFill="1" applyBorder="1" applyAlignment="1">
      <alignment vertical="center"/>
    </xf>
    <xf numFmtId="44" fontId="16" fillId="0" borderId="70" xfId="1" applyFont="1" applyFill="1" applyBorder="1" applyAlignment="1">
      <alignment vertical="center"/>
    </xf>
    <xf numFmtId="1" fontId="16" fillId="0" borderId="62" xfId="2" applyNumberFormat="1" applyFont="1" applyBorder="1" applyAlignment="1">
      <alignment horizontal="center" vertical="center"/>
    </xf>
    <xf numFmtId="164" fontId="16" fillId="0" borderId="62" xfId="2" applyNumberFormat="1" applyFont="1" applyBorder="1" applyAlignment="1">
      <alignment horizontal="center" vertical="center"/>
    </xf>
    <xf numFmtId="164" fontId="6" fillId="0" borderId="62" xfId="0" applyNumberFormat="1" applyFont="1" applyBorder="1" applyAlignment="1">
      <alignment horizontal="center" vertical="center"/>
    </xf>
    <xf numFmtId="0" fontId="16" fillId="0" borderId="56" xfId="2" applyFont="1" applyBorder="1" applyAlignment="1">
      <alignment horizontal="center" vertical="center"/>
    </xf>
    <xf numFmtId="43" fontId="16" fillId="0" borderId="21" xfId="1" applyNumberFormat="1" applyFont="1" applyBorder="1" applyAlignment="1">
      <alignment horizontal="left" vertical="center"/>
    </xf>
    <xf numFmtId="43" fontId="16" fillId="0" borderId="22" xfId="1" applyNumberFormat="1" applyFont="1" applyBorder="1" applyAlignment="1">
      <alignment horizontal="left" vertical="center"/>
    </xf>
    <xf numFmtId="1" fontId="16" fillId="0" borderId="56" xfId="2" applyNumberFormat="1" applyFont="1" applyBorder="1" applyAlignment="1">
      <alignment horizontal="center" vertical="center"/>
    </xf>
    <xf numFmtId="164" fontId="16" fillId="0" borderId="56" xfId="2" applyNumberFormat="1" applyFont="1" applyBorder="1" applyAlignment="1">
      <alignment horizontal="center" vertical="center"/>
    </xf>
    <xf numFmtId="164" fontId="6" fillId="0" borderId="56" xfId="0" applyNumberFormat="1" applyFont="1" applyBorder="1" applyAlignment="1">
      <alignment horizontal="center" vertical="center"/>
    </xf>
    <xf numFmtId="44" fontId="16" fillId="0" borderId="45" xfId="1" applyFont="1" applyBorder="1" applyAlignment="1">
      <alignment vertical="center"/>
    </xf>
    <xf numFmtId="1" fontId="16" fillId="0" borderId="57" xfId="2" applyNumberFormat="1" applyFont="1" applyBorder="1" applyAlignment="1">
      <alignment horizontal="center" vertical="center"/>
    </xf>
    <xf numFmtId="0" fontId="3" fillId="0" borderId="3" xfId="0" applyFont="1" applyBorder="1" applyAlignment="1">
      <alignment vertical="center"/>
    </xf>
    <xf numFmtId="0" fontId="3" fillId="3" borderId="3" xfId="0" applyFont="1" applyFill="1" applyBorder="1" applyAlignment="1">
      <alignment horizontal="center" vertical="center"/>
    </xf>
    <xf numFmtId="0" fontId="3" fillId="0" borderId="6" xfId="0" applyFont="1" applyBorder="1" applyAlignment="1">
      <alignment vertical="center"/>
    </xf>
    <xf numFmtId="0" fontId="0" fillId="0" borderId="17" xfId="0" applyBorder="1" applyAlignment="1">
      <alignment vertical="center"/>
    </xf>
    <xf numFmtId="0" fontId="0" fillId="3" borderId="0" xfId="0" applyFill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7" borderId="0" xfId="0" applyFill="1" applyAlignment="1">
      <alignment vertical="center"/>
    </xf>
    <xf numFmtId="43" fontId="16" fillId="0" borderId="43" xfId="1" applyNumberFormat="1" applyFont="1" applyBorder="1" applyAlignment="1">
      <alignment vertical="center"/>
    </xf>
    <xf numFmtId="0" fontId="7" fillId="5" borderId="19" xfId="0" applyFont="1" applyFill="1" applyBorder="1" applyAlignment="1">
      <alignment horizontal="center" vertical="center" wrapText="1"/>
    </xf>
    <xf numFmtId="0" fontId="7" fillId="5" borderId="1" xfId="0" applyFont="1" applyFill="1" applyBorder="1" applyAlignment="1">
      <alignment horizontal="center" vertical="center" wrapText="1"/>
    </xf>
    <xf numFmtId="0" fontId="7" fillId="5" borderId="20" xfId="0" applyFont="1" applyFill="1" applyBorder="1" applyAlignment="1">
      <alignment horizontal="center" vertical="center" wrapText="1"/>
    </xf>
    <xf numFmtId="0" fontId="7" fillId="5" borderId="21" xfId="0" applyFont="1" applyFill="1" applyBorder="1" applyAlignment="1">
      <alignment horizontal="center" vertical="center" wrapText="1"/>
    </xf>
    <xf numFmtId="0" fontId="7" fillId="5" borderId="0" xfId="0" applyFont="1" applyFill="1" applyAlignment="1">
      <alignment horizontal="center" vertical="center" wrapText="1"/>
    </xf>
    <xf numFmtId="0" fontId="7" fillId="5" borderId="22" xfId="0" applyFont="1" applyFill="1" applyBorder="1" applyAlignment="1">
      <alignment horizontal="center" vertical="center" wrapText="1"/>
    </xf>
    <xf numFmtId="0" fontId="7" fillId="5" borderId="23" xfId="0" applyFont="1" applyFill="1" applyBorder="1" applyAlignment="1">
      <alignment horizontal="center" vertical="center" wrapText="1"/>
    </xf>
    <xf numFmtId="0" fontId="7" fillId="5" borderId="2" xfId="0" applyFont="1" applyFill="1" applyBorder="1" applyAlignment="1">
      <alignment horizontal="center" vertical="center" wrapText="1"/>
    </xf>
    <xf numFmtId="0" fontId="7" fillId="5" borderId="24" xfId="0" applyFont="1" applyFill="1" applyBorder="1" applyAlignment="1">
      <alignment horizontal="center" vertical="center" wrapText="1"/>
    </xf>
    <xf numFmtId="43" fontId="16" fillId="0" borderId="32" xfId="1" applyNumberFormat="1" applyFont="1" applyBorder="1" applyAlignment="1">
      <alignment horizontal="left" vertical="center"/>
    </xf>
    <xf numFmtId="43" fontId="16" fillId="0" borderId="39" xfId="1" applyNumberFormat="1" applyFont="1" applyBorder="1" applyAlignment="1">
      <alignment horizontal="left" vertical="center"/>
    </xf>
    <xf numFmtId="0" fontId="13" fillId="0" borderId="0" xfId="0" applyFont="1" applyAlignment="1">
      <alignment horizontal="center" vertical="center"/>
    </xf>
    <xf numFmtId="1" fontId="7" fillId="2" borderId="32" xfId="0" applyNumberFormat="1" applyFont="1" applyFill="1" applyBorder="1" applyAlignment="1">
      <alignment horizontal="center" vertical="center"/>
    </xf>
    <xf numFmtId="0" fontId="7" fillId="2" borderId="33" xfId="0" applyFont="1" applyFill="1" applyBorder="1" applyAlignment="1">
      <alignment horizontal="center" vertical="center"/>
    </xf>
    <xf numFmtId="0" fontId="7" fillId="2" borderId="39" xfId="0" applyFont="1" applyFill="1" applyBorder="1" applyAlignment="1">
      <alignment horizontal="center" vertical="center"/>
    </xf>
    <xf numFmtId="164" fontId="7" fillId="2" borderId="23" xfId="0" applyNumberFormat="1" applyFont="1" applyFill="1" applyBorder="1" applyAlignment="1">
      <alignment horizontal="center" vertical="center"/>
    </xf>
    <xf numFmtId="164" fontId="7" fillId="2" borderId="2" xfId="0" applyNumberFormat="1" applyFont="1" applyFill="1" applyBorder="1" applyAlignment="1">
      <alignment horizontal="center" vertical="center"/>
    </xf>
    <xf numFmtId="164" fontId="7" fillId="2" borderId="24" xfId="0" applyNumberFormat="1" applyFont="1" applyFill="1" applyBorder="1" applyAlignment="1">
      <alignment horizontal="center" vertical="center"/>
    </xf>
    <xf numFmtId="0" fontId="9" fillId="2" borderId="32" xfId="1" applyNumberFormat="1" applyFont="1" applyFill="1" applyBorder="1" applyAlignment="1">
      <alignment horizontal="right" vertical="center" indent="1"/>
    </xf>
    <xf numFmtId="0" fontId="9" fillId="2" borderId="33" xfId="1" applyNumberFormat="1" applyFont="1" applyFill="1" applyBorder="1" applyAlignment="1">
      <alignment horizontal="right" vertical="center" indent="1"/>
    </xf>
    <xf numFmtId="0" fontId="9" fillId="2" borderId="39" xfId="1" applyNumberFormat="1" applyFont="1" applyFill="1" applyBorder="1" applyAlignment="1">
      <alignment horizontal="right" vertical="center" indent="1"/>
    </xf>
    <xf numFmtId="0" fontId="12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5" fontId="10" fillId="0" borderId="23" xfId="0" applyNumberFormat="1" applyFont="1" applyBorder="1" applyAlignment="1">
      <alignment horizontal="left" vertical="top" indent="1"/>
    </xf>
    <xf numFmtId="15" fontId="10" fillId="0" borderId="2" xfId="0" applyNumberFormat="1" applyFont="1" applyBorder="1" applyAlignment="1">
      <alignment horizontal="left" vertical="top" indent="1"/>
    </xf>
    <xf numFmtId="15" fontId="10" fillId="0" borderId="24" xfId="0" applyNumberFormat="1" applyFont="1" applyBorder="1" applyAlignment="1">
      <alignment horizontal="left" vertical="top" indent="1"/>
    </xf>
    <xf numFmtId="0" fontId="9" fillId="2" borderId="37" xfId="1" applyNumberFormat="1" applyFont="1" applyFill="1" applyBorder="1" applyAlignment="1">
      <alignment horizontal="right" vertical="center" indent="1"/>
    </xf>
    <xf numFmtId="0" fontId="9" fillId="2" borderId="38" xfId="1" applyNumberFormat="1" applyFont="1" applyFill="1" applyBorder="1" applyAlignment="1">
      <alignment horizontal="right" vertical="center" indent="1"/>
    </xf>
    <xf numFmtId="0" fontId="9" fillId="2" borderId="43" xfId="1" applyNumberFormat="1" applyFont="1" applyFill="1" applyBorder="1" applyAlignment="1">
      <alignment horizontal="right" vertical="center" indent="1"/>
    </xf>
    <xf numFmtId="0" fontId="6" fillId="0" borderId="38" xfId="0" applyFont="1" applyBorder="1" applyAlignment="1">
      <alignment horizontal="left" vertical="center"/>
    </xf>
    <xf numFmtId="0" fontId="6" fillId="0" borderId="43" xfId="0" applyFont="1" applyBorder="1" applyAlignment="1">
      <alignment horizontal="left" vertical="center"/>
    </xf>
    <xf numFmtId="0" fontId="7" fillId="2" borderId="25" xfId="1" applyNumberFormat="1" applyFont="1" applyFill="1" applyBorder="1" applyAlignment="1">
      <alignment horizontal="left" vertical="center"/>
    </xf>
    <xf numFmtId="0" fontId="7" fillId="2" borderId="27" xfId="1" applyNumberFormat="1" applyFont="1" applyFill="1" applyBorder="1" applyAlignment="1">
      <alignment horizontal="left" vertical="center"/>
    </xf>
    <xf numFmtId="0" fontId="13" fillId="0" borderId="18" xfId="0" applyFont="1" applyBorder="1" applyAlignment="1">
      <alignment horizontal="center" vertical="center" wrapText="1"/>
    </xf>
    <xf numFmtId="0" fontId="13" fillId="0" borderId="28" xfId="0" applyFont="1" applyBorder="1" applyAlignment="1">
      <alignment horizontal="center" vertical="center" wrapText="1"/>
    </xf>
    <xf numFmtId="0" fontId="14" fillId="0" borderId="2" xfId="1" applyNumberFormat="1" applyFont="1" applyBorder="1" applyAlignment="1">
      <alignment horizontal="left" vertical="center" wrapText="1" indent="1"/>
    </xf>
    <xf numFmtId="0" fontId="14" fillId="0" borderId="33" xfId="1" applyNumberFormat="1" applyFont="1" applyBorder="1" applyAlignment="1">
      <alignment horizontal="left" vertical="center" wrapText="1" indent="1"/>
    </xf>
    <xf numFmtId="0" fontId="18" fillId="0" borderId="19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20" xfId="0" applyFont="1" applyBorder="1" applyAlignment="1">
      <alignment horizontal="center" vertical="center"/>
    </xf>
    <xf numFmtId="0" fontId="18" fillId="0" borderId="29" xfId="0" applyFont="1" applyBorder="1" applyAlignment="1">
      <alignment horizontal="center" vertical="center"/>
    </xf>
    <xf numFmtId="0" fontId="18" fillId="0" borderId="30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6" fillId="0" borderId="44" xfId="0" applyFont="1" applyBorder="1" applyAlignment="1">
      <alignment horizontal="center" vertical="center"/>
    </xf>
    <xf numFmtId="0" fontId="6" fillId="0" borderId="46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6" fillId="0" borderId="2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6" fillId="0" borderId="24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6" fillId="0" borderId="33" xfId="0" applyFont="1" applyBorder="1" applyAlignment="1">
      <alignment horizontal="left" vertical="center"/>
    </xf>
    <xf numFmtId="0" fontId="6" fillId="0" borderId="39" xfId="0" applyFont="1" applyBorder="1" applyAlignment="1">
      <alignment horizontal="left" vertical="center"/>
    </xf>
    <xf numFmtId="0" fontId="14" fillId="0" borderId="32" xfId="1" applyNumberFormat="1" applyFont="1" applyBorder="1" applyAlignment="1">
      <alignment horizontal="left" vertical="center" indent="1"/>
    </xf>
    <xf numFmtId="0" fontId="14" fillId="0" borderId="33" xfId="1" applyNumberFormat="1" applyFont="1" applyBorder="1" applyAlignment="1">
      <alignment horizontal="left" vertical="center" indent="1"/>
    </xf>
    <xf numFmtId="0" fontId="11" fillId="0" borderId="19" xfId="0" applyFont="1" applyBorder="1" applyAlignment="1">
      <alignment horizontal="center" vertical="center" textRotation="90"/>
    </xf>
    <xf numFmtId="0" fontId="11" fillId="0" borderId="20" xfId="0" applyFont="1" applyBorder="1" applyAlignment="1">
      <alignment horizontal="center" vertical="center" textRotation="90"/>
    </xf>
    <xf numFmtId="0" fontId="11" fillId="0" borderId="21" xfId="0" applyFont="1" applyBorder="1" applyAlignment="1">
      <alignment horizontal="center" vertical="center" textRotation="90"/>
    </xf>
    <xf numFmtId="0" fontId="11" fillId="0" borderId="22" xfId="0" applyFont="1" applyBorder="1" applyAlignment="1">
      <alignment horizontal="center" vertical="center" textRotation="90"/>
    </xf>
    <xf numFmtId="0" fontId="11" fillId="0" borderId="23" xfId="0" applyFont="1" applyBorder="1" applyAlignment="1">
      <alignment horizontal="center" vertical="center" textRotation="90"/>
    </xf>
    <xf numFmtId="0" fontId="11" fillId="0" borderId="24" xfId="0" applyFont="1" applyBorder="1" applyAlignment="1">
      <alignment horizontal="center" vertical="center" textRotation="90"/>
    </xf>
    <xf numFmtId="0" fontId="14" fillId="0" borderId="23" xfId="1" applyNumberFormat="1" applyFont="1" applyBorder="1" applyAlignment="1">
      <alignment horizontal="left" vertical="center" indent="1"/>
    </xf>
    <xf numFmtId="0" fontId="14" fillId="0" borderId="2" xfId="1" applyNumberFormat="1" applyFont="1" applyBorder="1" applyAlignment="1">
      <alignment horizontal="left" vertical="center" indent="1"/>
    </xf>
    <xf numFmtId="0" fontId="6" fillId="0" borderId="24" xfId="0" applyFont="1" applyBorder="1" applyAlignment="1">
      <alignment horizontal="center" vertical="center" wrapText="1"/>
    </xf>
    <xf numFmtId="0" fontId="6" fillId="0" borderId="26" xfId="0" applyFont="1" applyBorder="1" applyAlignment="1">
      <alignment horizontal="center" vertical="center" wrapText="1"/>
    </xf>
    <xf numFmtId="0" fontId="6" fillId="0" borderId="36" xfId="0" applyFont="1" applyBorder="1" applyAlignment="1">
      <alignment horizontal="center" vertical="center" wrapText="1"/>
    </xf>
    <xf numFmtId="0" fontId="6" fillId="0" borderId="40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6" fillId="0" borderId="41" xfId="0" applyFont="1" applyBorder="1" applyAlignment="1">
      <alignment horizontal="center" vertical="center" wrapText="1"/>
    </xf>
    <xf numFmtId="0" fontId="7" fillId="2" borderId="19" xfId="0" applyFont="1" applyFill="1" applyBorder="1" applyAlignment="1">
      <alignment horizontal="center" vertical="center"/>
    </xf>
    <xf numFmtId="0" fontId="7" fillId="2" borderId="26" xfId="0" applyFont="1" applyFill="1" applyBorder="1" applyAlignment="1">
      <alignment horizontal="center" vertical="center"/>
    </xf>
    <xf numFmtId="0" fontId="9" fillId="5" borderId="55" xfId="0" applyFont="1" applyFill="1" applyBorder="1" applyAlignment="1">
      <alignment horizontal="center" vertical="center" textRotation="90" wrapText="1"/>
    </xf>
    <xf numFmtId="0" fontId="9" fillId="5" borderId="58" xfId="0" applyFont="1" applyFill="1" applyBorder="1" applyAlignment="1">
      <alignment horizontal="center" vertical="center" textRotation="90" wrapText="1"/>
    </xf>
    <xf numFmtId="0" fontId="9" fillId="5" borderId="63" xfId="0" applyFont="1" applyFill="1" applyBorder="1" applyAlignment="1">
      <alignment horizontal="center" vertical="center" textRotation="90" wrapText="1"/>
    </xf>
    <xf numFmtId="0" fontId="9" fillId="5" borderId="56" xfId="0" applyFont="1" applyFill="1" applyBorder="1" applyAlignment="1">
      <alignment horizontal="center" vertical="center" textRotation="90" wrapText="1"/>
    </xf>
    <xf numFmtId="0" fontId="3" fillId="0" borderId="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</cellXfs>
  <cellStyles count="3">
    <cellStyle name="Moneda" xfId="1" builtinId="4"/>
    <cellStyle name="Normal" xfId="0" builtinId="0"/>
    <cellStyle name="Normal 2" xfId="2" xr:uid="{00000000-0005-0000-0000-000002000000}"/>
  </cellStyles>
  <dxfs count="10">
    <dxf>
      <fill>
        <patternFill>
          <bgColor rgb="FFFFCCCC"/>
        </patternFill>
      </fill>
    </dxf>
    <dxf>
      <font>
        <color rgb="FFFFCCCC"/>
      </font>
      <fill>
        <patternFill>
          <bgColor rgb="FFFFCCCC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rgb="FFFF0000"/>
      </font>
    </dxf>
    <dxf>
      <font>
        <color rgb="FFC00000"/>
      </font>
      <fill>
        <patternFill>
          <bgColor rgb="FFFFCCCC"/>
        </patternFill>
      </fill>
    </dxf>
    <dxf>
      <fill>
        <patternFill>
          <bgColor rgb="FFFFBDBD"/>
        </patternFill>
      </fill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FFCCCC"/>
      <color rgb="FFFFBDBD"/>
      <color rgb="FFFFD1D1"/>
      <color rgb="FFDAE9F8"/>
      <color rgb="FF6BA5DF"/>
      <color rgb="FF679CE3"/>
      <color rgb="FF0A74BD"/>
      <color rgb="FFFFB3B3"/>
      <color rgb="FFFFB7B7"/>
      <color rgb="FFFAAAA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svg"/><Relationship Id="rId3" Type="http://schemas.openxmlformats.org/officeDocument/2006/relationships/image" Target="../media/image3.svg"/><Relationship Id="rId7" Type="http://schemas.openxmlformats.org/officeDocument/2006/relationships/image" Target="../media/image7.sv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6" Type="http://schemas.openxmlformats.org/officeDocument/2006/relationships/image" Target="file:///D:\OneDrive%20-%20Escuela%20Naval%20de%20Cadetes%20Almirante%20Padilla\Firmas%20y%20Logos\Firma%20Beyty%203.png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svg"/><Relationship Id="rId5" Type="http://schemas.openxmlformats.org/officeDocument/2006/relationships/image" Target="../media/image5.svg"/><Relationship Id="rId15" Type="http://schemas.openxmlformats.org/officeDocument/2006/relationships/image" Target="file:///D:\OneDrive%20-%20Escuela%20Naval%20de%20Cadetes%20Almirante%20Padilla\Firmas%20y%20Logos\Firma%20Beyty%203%20-%20copia.png" TargetMode="External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sv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267935</xdr:colOff>
      <xdr:row>2</xdr:row>
      <xdr:rowOff>37348</xdr:rowOff>
    </xdr:from>
    <xdr:to>
      <xdr:col>3</xdr:col>
      <xdr:colOff>272880</xdr:colOff>
      <xdr:row>5</xdr:row>
      <xdr:rowOff>108131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4220151-59CB-45EF-9D51-C6844D2251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4578" y="1263174"/>
          <a:ext cx="309745" cy="527983"/>
        </a:xfrm>
        <a:prstGeom prst="rect">
          <a:avLst/>
        </a:prstGeom>
      </xdr:spPr>
    </xdr:pic>
    <xdr:clientData/>
  </xdr:twoCellAnchor>
  <xdr:twoCellAnchor>
    <xdr:from>
      <xdr:col>1</xdr:col>
      <xdr:colOff>6361</xdr:colOff>
      <xdr:row>1</xdr:row>
      <xdr:rowOff>6359</xdr:rowOff>
    </xdr:from>
    <xdr:to>
      <xdr:col>13</xdr:col>
      <xdr:colOff>0</xdr:colOff>
      <xdr:row>78</xdr:row>
      <xdr:rowOff>150484</xdr:rowOff>
    </xdr:to>
    <xdr:sp macro="" textlink="">
      <xdr:nvSpPr>
        <xdr:cNvPr id="1400" name="Rectángulo 1399">
          <a:extLst>
            <a:ext uri="{FF2B5EF4-FFF2-40B4-BE49-F238E27FC236}">
              <a16:creationId xmlns:a16="http://schemas.microsoft.com/office/drawing/2014/main" id="{97802F9A-7C94-3D44-23C4-850213B6A9A7}"/>
            </a:ext>
          </a:extLst>
        </xdr:cNvPr>
        <xdr:cNvSpPr/>
      </xdr:nvSpPr>
      <xdr:spPr>
        <a:xfrm>
          <a:off x="423327" y="869553"/>
          <a:ext cx="9115694" cy="13845494"/>
        </a:xfrm>
        <a:prstGeom prst="rect">
          <a:avLst/>
        </a:prstGeom>
        <a:noFill/>
        <a:ln w="12700">
          <a:solidFill>
            <a:srgbClr val="679CE3"/>
          </a:solidFill>
          <a:prstDash val="sys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1</xdr:col>
      <xdr:colOff>2961</xdr:colOff>
      <xdr:row>0</xdr:row>
      <xdr:rowOff>1</xdr:rowOff>
    </xdr:from>
    <xdr:to>
      <xdr:col>12</xdr:col>
      <xdr:colOff>303510</xdr:colOff>
      <xdr:row>0</xdr:row>
      <xdr:rowOff>821635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3926DB25-FB37-4C51-A4E2-B7F4D679E464}"/>
            </a:ext>
          </a:extLst>
        </xdr:cNvPr>
        <xdr:cNvGrpSpPr/>
      </xdr:nvGrpSpPr>
      <xdr:grpSpPr>
        <a:xfrm>
          <a:off x="1613100" y="1"/>
          <a:ext cx="8954219" cy="821634"/>
          <a:chOff x="428220" y="0"/>
          <a:chExt cx="9107777" cy="818591"/>
        </a:xfrm>
      </xdr:grpSpPr>
      <xdr:sp macro="" textlink="">
        <xdr:nvSpPr>
          <xdr:cNvPr id="5" name="Forma libre: forma 4">
            <a:extLst>
              <a:ext uri="{FF2B5EF4-FFF2-40B4-BE49-F238E27FC236}">
                <a16:creationId xmlns:a16="http://schemas.microsoft.com/office/drawing/2014/main" id="{5A3C9731-BD3F-C0E9-BB67-2FC97F581C60}"/>
              </a:ext>
            </a:extLst>
          </xdr:cNvPr>
          <xdr:cNvSpPr/>
        </xdr:nvSpPr>
        <xdr:spPr>
          <a:xfrm flipV="1">
            <a:off x="428220" y="0"/>
            <a:ext cx="9107777" cy="619188"/>
          </a:xfrm>
          <a:custGeom>
            <a:avLst/>
            <a:gdLst>
              <a:gd name="connsiteX0" fmla="*/ 7010626 w 8041479"/>
              <a:gd name="connsiteY0" fmla="*/ 322872 h 619188"/>
              <a:gd name="connsiteX1" fmla="*/ 6797421 w 8041479"/>
              <a:gd name="connsiteY1" fmla="*/ 234559 h 619188"/>
              <a:gd name="connsiteX2" fmla="*/ 6742835 w 8041479"/>
              <a:gd name="connsiteY2" fmla="*/ 153598 h 619188"/>
              <a:gd name="connsiteX3" fmla="*/ 6744499 w 8041479"/>
              <a:gd name="connsiteY3" fmla="*/ 158958 h 619188"/>
              <a:gd name="connsiteX4" fmla="*/ 6690125 w 8041479"/>
              <a:gd name="connsiteY4" fmla="*/ 78310 h 619188"/>
              <a:gd name="connsiteX5" fmla="*/ 6605138 w 8041479"/>
              <a:gd name="connsiteY5" fmla="*/ 21012 h 619188"/>
              <a:gd name="connsiteX6" fmla="*/ 6501070 w 8041479"/>
              <a:gd name="connsiteY6" fmla="*/ 1 h 619188"/>
              <a:gd name="connsiteX7" fmla="*/ 6713419 w 8041479"/>
              <a:gd name="connsiteY7" fmla="*/ 1 h 619188"/>
              <a:gd name="connsiteX8" fmla="*/ 6723954 w 8041479"/>
              <a:gd name="connsiteY8" fmla="*/ 1 h 619188"/>
              <a:gd name="connsiteX9" fmla="*/ 7297300 w 8041479"/>
              <a:gd name="connsiteY9" fmla="*/ 1 h 619188"/>
              <a:gd name="connsiteX10" fmla="*/ 7307833 w 8041479"/>
              <a:gd name="connsiteY10" fmla="*/ 1 h 619188"/>
              <a:gd name="connsiteX11" fmla="*/ 7520184 w 8041479"/>
              <a:gd name="connsiteY11" fmla="*/ 1 h 619188"/>
              <a:gd name="connsiteX12" fmla="*/ 7416116 w 8041479"/>
              <a:gd name="connsiteY12" fmla="*/ 21012 h 619188"/>
              <a:gd name="connsiteX13" fmla="*/ 7331129 w 8041479"/>
              <a:gd name="connsiteY13" fmla="*/ 78310 h 619188"/>
              <a:gd name="connsiteX14" fmla="*/ 7276755 w 8041479"/>
              <a:gd name="connsiteY14" fmla="*/ 158958 h 619188"/>
              <a:gd name="connsiteX15" fmla="*/ 7278421 w 8041479"/>
              <a:gd name="connsiteY15" fmla="*/ 153593 h 619188"/>
              <a:gd name="connsiteX16" fmla="*/ 7223831 w 8041479"/>
              <a:gd name="connsiteY16" fmla="*/ 234559 h 619188"/>
              <a:gd name="connsiteX17" fmla="*/ 7010626 w 8041479"/>
              <a:gd name="connsiteY17" fmla="*/ 322872 h 619188"/>
              <a:gd name="connsiteX18" fmla="*/ 5810985 w 8041479"/>
              <a:gd name="connsiteY18" fmla="*/ 322872 h 619188"/>
              <a:gd name="connsiteX19" fmla="*/ 5597781 w 8041479"/>
              <a:gd name="connsiteY19" fmla="*/ 234559 h 619188"/>
              <a:gd name="connsiteX20" fmla="*/ 5543194 w 8041479"/>
              <a:gd name="connsiteY20" fmla="*/ 153598 h 619188"/>
              <a:gd name="connsiteX21" fmla="*/ 5544858 w 8041479"/>
              <a:gd name="connsiteY21" fmla="*/ 158958 h 619188"/>
              <a:gd name="connsiteX22" fmla="*/ 5490484 w 8041479"/>
              <a:gd name="connsiteY22" fmla="*/ 78310 h 619188"/>
              <a:gd name="connsiteX23" fmla="*/ 5405497 w 8041479"/>
              <a:gd name="connsiteY23" fmla="*/ 21012 h 619188"/>
              <a:gd name="connsiteX24" fmla="*/ 5301429 w 8041479"/>
              <a:gd name="connsiteY24" fmla="*/ 1 h 619188"/>
              <a:gd name="connsiteX25" fmla="*/ 5513778 w 8041479"/>
              <a:gd name="connsiteY25" fmla="*/ 1 h 619188"/>
              <a:gd name="connsiteX26" fmla="*/ 5524313 w 8041479"/>
              <a:gd name="connsiteY26" fmla="*/ 1 h 619188"/>
              <a:gd name="connsiteX27" fmla="*/ 6097659 w 8041479"/>
              <a:gd name="connsiteY27" fmla="*/ 1 h 619188"/>
              <a:gd name="connsiteX28" fmla="*/ 6108193 w 8041479"/>
              <a:gd name="connsiteY28" fmla="*/ 1 h 619188"/>
              <a:gd name="connsiteX29" fmla="*/ 6320543 w 8041479"/>
              <a:gd name="connsiteY29" fmla="*/ 1 h 619188"/>
              <a:gd name="connsiteX30" fmla="*/ 6216476 w 8041479"/>
              <a:gd name="connsiteY30" fmla="*/ 21012 h 619188"/>
              <a:gd name="connsiteX31" fmla="*/ 6131488 w 8041479"/>
              <a:gd name="connsiteY31" fmla="*/ 78310 h 619188"/>
              <a:gd name="connsiteX32" fmla="*/ 6077114 w 8041479"/>
              <a:gd name="connsiteY32" fmla="*/ 158958 h 619188"/>
              <a:gd name="connsiteX33" fmla="*/ 6078780 w 8041479"/>
              <a:gd name="connsiteY33" fmla="*/ 153593 h 619188"/>
              <a:gd name="connsiteX34" fmla="*/ 6024190 w 8041479"/>
              <a:gd name="connsiteY34" fmla="*/ 234559 h 619188"/>
              <a:gd name="connsiteX35" fmla="*/ 5810985 w 8041479"/>
              <a:gd name="connsiteY35" fmla="*/ 322872 h 619188"/>
              <a:gd name="connsiteX36" fmla="*/ 4611346 w 8041479"/>
              <a:gd name="connsiteY36" fmla="*/ 322872 h 619188"/>
              <a:gd name="connsiteX37" fmla="*/ 4398142 w 8041479"/>
              <a:gd name="connsiteY37" fmla="*/ 234559 h 619188"/>
              <a:gd name="connsiteX38" fmla="*/ 4343555 w 8041479"/>
              <a:gd name="connsiteY38" fmla="*/ 153598 h 619188"/>
              <a:gd name="connsiteX39" fmla="*/ 4345219 w 8041479"/>
              <a:gd name="connsiteY39" fmla="*/ 158958 h 619188"/>
              <a:gd name="connsiteX40" fmla="*/ 4290845 w 8041479"/>
              <a:gd name="connsiteY40" fmla="*/ 78310 h 619188"/>
              <a:gd name="connsiteX41" fmla="*/ 4205858 w 8041479"/>
              <a:gd name="connsiteY41" fmla="*/ 21012 h 619188"/>
              <a:gd name="connsiteX42" fmla="*/ 4101790 w 8041479"/>
              <a:gd name="connsiteY42" fmla="*/ 1 h 619188"/>
              <a:gd name="connsiteX43" fmla="*/ 4314139 w 8041479"/>
              <a:gd name="connsiteY43" fmla="*/ 1 h 619188"/>
              <a:gd name="connsiteX44" fmla="*/ 4324674 w 8041479"/>
              <a:gd name="connsiteY44" fmla="*/ 1 h 619188"/>
              <a:gd name="connsiteX45" fmla="*/ 4898020 w 8041479"/>
              <a:gd name="connsiteY45" fmla="*/ 1 h 619188"/>
              <a:gd name="connsiteX46" fmla="*/ 4908554 w 8041479"/>
              <a:gd name="connsiteY46" fmla="*/ 1 h 619188"/>
              <a:gd name="connsiteX47" fmla="*/ 5120904 w 8041479"/>
              <a:gd name="connsiteY47" fmla="*/ 1 h 619188"/>
              <a:gd name="connsiteX48" fmla="*/ 5016837 w 8041479"/>
              <a:gd name="connsiteY48" fmla="*/ 21012 h 619188"/>
              <a:gd name="connsiteX49" fmla="*/ 4931849 w 8041479"/>
              <a:gd name="connsiteY49" fmla="*/ 78310 h 619188"/>
              <a:gd name="connsiteX50" fmla="*/ 4877475 w 8041479"/>
              <a:gd name="connsiteY50" fmla="*/ 158958 h 619188"/>
              <a:gd name="connsiteX51" fmla="*/ 4879141 w 8041479"/>
              <a:gd name="connsiteY51" fmla="*/ 153593 h 619188"/>
              <a:gd name="connsiteX52" fmla="*/ 4824551 w 8041479"/>
              <a:gd name="connsiteY52" fmla="*/ 234559 h 619188"/>
              <a:gd name="connsiteX53" fmla="*/ 4611346 w 8041479"/>
              <a:gd name="connsiteY53" fmla="*/ 322872 h 619188"/>
              <a:gd name="connsiteX54" fmla="*/ 3411707 w 8041479"/>
              <a:gd name="connsiteY54" fmla="*/ 322872 h 619188"/>
              <a:gd name="connsiteX55" fmla="*/ 3198503 w 8041479"/>
              <a:gd name="connsiteY55" fmla="*/ 234559 h 619188"/>
              <a:gd name="connsiteX56" fmla="*/ 3143916 w 8041479"/>
              <a:gd name="connsiteY56" fmla="*/ 153598 h 619188"/>
              <a:gd name="connsiteX57" fmla="*/ 3145580 w 8041479"/>
              <a:gd name="connsiteY57" fmla="*/ 158958 h 619188"/>
              <a:gd name="connsiteX58" fmla="*/ 3091206 w 8041479"/>
              <a:gd name="connsiteY58" fmla="*/ 78310 h 619188"/>
              <a:gd name="connsiteX59" fmla="*/ 3006219 w 8041479"/>
              <a:gd name="connsiteY59" fmla="*/ 21012 h 619188"/>
              <a:gd name="connsiteX60" fmla="*/ 2902151 w 8041479"/>
              <a:gd name="connsiteY60" fmla="*/ 1 h 619188"/>
              <a:gd name="connsiteX61" fmla="*/ 3114500 w 8041479"/>
              <a:gd name="connsiteY61" fmla="*/ 1 h 619188"/>
              <a:gd name="connsiteX62" fmla="*/ 3125035 w 8041479"/>
              <a:gd name="connsiteY62" fmla="*/ 1 h 619188"/>
              <a:gd name="connsiteX63" fmla="*/ 3698381 w 8041479"/>
              <a:gd name="connsiteY63" fmla="*/ 1 h 619188"/>
              <a:gd name="connsiteX64" fmla="*/ 3708915 w 8041479"/>
              <a:gd name="connsiteY64" fmla="*/ 1 h 619188"/>
              <a:gd name="connsiteX65" fmla="*/ 3921265 w 8041479"/>
              <a:gd name="connsiteY65" fmla="*/ 1 h 619188"/>
              <a:gd name="connsiteX66" fmla="*/ 3817198 w 8041479"/>
              <a:gd name="connsiteY66" fmla="*/ 21012 h 619188"/>
              <a:gd name="connsiteX67" fmla="*/ 3732210 w 8041479"/>
              <a:gd name="connsiteY67" fmla="*/ 78310 h 619188"/>
              <a:gd name="connsiteX68" fmla="*/ 3677836 w 8041479"/>
              <a:gd name="connsiteY68" fmla="*/ 158958 h 619188"/>
              <a:gd name="connsiteX69" fmla="*/ 3679502 w 8041479"/>
              <a:gd name="connsiteY69" fmla="*/ 153593 h 619188"/>
              <a:gd name="connsiteX70" fmla="*/ 3624912 w 8041479"/>
              <a:gd name="connsiteY70" fmla="*/ 234559 h 619188"/>
              <a:gd name="connsiteX71" fmla="*/ 3411707 w 8041479"/>
              <a:gd name="connsiteY71" fmla="*/ 322872 h 619188"/>
              <a:gd name="connsiteX72" fmla="*/ 2212068 w 8041479"/>
              <a:gd name="connsiteY72" fmla="*/ 322872 h 619188"/>
              <a:gd name="connsiteX73" fmla="*/ 1998864 w 8041479"/>
              <a:gd name="connsiteY73" fmla="*/ 234559 h 619188"/>
              <a:gd name="connsiteX74" fmla="*/ 1944278 w 8041479"/>
              <a:gd name="connsiteY74" fmla="*/ 153598 h 619188"/>
              <a:gd name="connsiteX75" fmla="*/ 1945942 w 8041479"/>
              <a:gd name="connsiteY75" fmla="*/ 158958 h 619188"/>
              <a:gd name="connsiteX76" fmla="*/ 1891568 w 8041479"/>
              <a:gd name="connsiteY76" fmla="*/ 78310 h 619188"/>
              <a:gd name="connsiteX77" fmla="*/ 1806580 w 8041479"/>
              <a:gd name="connsiteY77" fmla="*/ 21012 h 619188"/>
              <a:gd name="connsiteX78" fmla="*/ 1702512 w 8041479"/>
              <a:gd name="connsiteY78" fmla="*/ 1 h 619188"/>
              <a:gd name="connsiteX79" fmla="*/ 1914861 w 8041479"/>
              <a:gd name="connsiteY79" fmla="*/ 1 h 619188"/>
              <a:gd name="connsiteX80" fmla="*/ 1925397 w 8041479"/>
              <a:gd name="connsiteY80" fmla="*/ 1 h 619188"/>
              <a:gd name="connsiteX81" fmla="*/ 2498742 w 8041479"/>
              <a:gd name="connsiteY81" fmla="*/ 1 h 619188"/>
              <a:gd name="connsiteX82" fmla="*/ 2509276 w 8041479"/>
              <a:gd name="connsiteY82" fmla="*/ 1 h 619188"/>
              <a:gd name="connsiteX83" fmla="*/ 2721626 w 8041479"/>
              <a:gd name="connsiteY83" fmla="*/ 1 h 619188"/>
              <a:gd name="connsiteX84" fmla="*/ 2617559 w 8041479"/>
              <a:gd name="connsiteY84" fmla="*/ 21012 h 619188"/>
              <a:gd name="connsiteX85" fmla="*/ 2532571 w 8041479"/>
              <a:gd name="connsiteY85" fmla="*/ 78310 h 619188"/>
              <a:gd name="connsiteX86" fmla="*/ 2478197 w 8041479"/>
              <a:gd name="connsiteY86" fmla="*/ 158958 h 619188"/>
              <a:gd name="connsiteX87" fmla="*/ 2479863 w 8041479"/>
              <a:gd name="connsiteY87" fmla="*/ 153593 h 619188"/>
              <a:gd name="connsiteX88" fmla="*/ 2425273 w 8041479"/>
              <a:gd name="connsiteY88" fmla="*/ 234559 h 619188"/>
              <a:gd name="connsiteX89" fmla="*/ 2212068 w 8041479"/>
              <a:gd name="connsiteY89" fmla="*/ 322872 h 619188"/>
              <a:gd name="connsiteX90" fmla="*/ 1012430 w 8041479"/>
              <a:gd name="connsiteY90" fmla="*/ 322872 h 619188"/>
              <a:gd name="connsiteX91" fmla="*/ 799225 w 8041479"/>
              <a:gd name="connsiteY91" fmla="*/ 234559 h 619188"/>
              <a:gd name="connsiteX92" fmla="*/ 744639 w 8041479"/>
              <a:gd name="connsiteY92" fmla="*/ 153598 h 619188"/>
              <a:gd name="connsiteX93" fmla="*/ 746303 w 8041479"/>
              <a:gd name="connsiteY93" fmla="*/ 158958 h 619188"/>
              <a:gd name="connsiteX94" fmla="*/ 691929 w 8041479"/>
              <a:gd name="connsiteY94" fmla="*/ 78310 h 619188"/>
              <a:gd name="connsiteX95" fmla="*/ 606942 w 8041479"/>
              <a:gd name="connsiteY95" fmla="*/ 21012 h 619188"/>
              <a:gd name="connsiteX96" fmla="*/ 502874 w 8041479"/>
              <a:gd name="connsiteY96" fmla="*/ 1 h 619188"/>
              <a:gd name="connsiteX97" fmla="*/ 715223 w 8041479"/>
              <a:gd name="connsiteY97" fmla="*/ 1 h 619188"/>
              <a:gd name="connsiteX98" fmla="*/ 725758 w 8041479"/>
              <a:gd name="connsiteY98" fmla="*/ 1 h 619188"/>
              <a:gd name="connsiteX99" fmla="*/ 1299104 w 8041479"/>
              <a:gd name="connsiteY99" fmla="*/ 1 h 619188"/>
              <a:gd name="connsiteX100" fmla="*/ 1309638 w 8041479"/>
              <a:gd name="connsiteY100" fmla="*/ 1 h 619188"/>
              <a:gd name="connsiteX101" fmla="*/ 1521988 w 8041479"/>
              <a:gd name="connsiteY101" fmla="*/ 1 h 619188"/>
              <a:gd name="connsiteX102" fmla="*/ 1417921 w 8041479"/>
              <a:gd name="connsiteY102" fmla="*/ 21012 h 619188"/>
              <a:gd name="connsiteX103" fmla="*/ 1332933 w 8041479"/>
              <a:gd name="connsiteY103" fmla="*/ 78310 h 619188"/>
              <a:gd name="connsiteX104" fmla="*/ 1278559 w 8041479"/>
              <a:gd name="connsiteY104" fmla="*/ 158958 h 619188"/>
              <a:gd name="connsiteX105" fmla="*/ 1280225 w 8041479"/>
              <a:gd name="connsiteY105" fmla="*/ 153593 h 619188"/>
              <a:gd name="connsiteX106" fmla="*/ 1225636 w 8041479"/>
              <a:gd name="connsiteY106" fmla="*/ 234559 h 619188"/>
              <a:gd name="connsiteX107" fmla="*/ 1012430 w 8041479"/>
              <a:gd name="connsiteY107" fmla="*/ 322872 h 619188"/>
              <a:gd name="connsiteX108" fmla="*/ 0 w 8041479"/>
              <a:gd name="connsiteY108" fmla="*/ 619188 h 619188"/>
              <a:gd name="connsiteX109" fmla="*/ 8041479 w 8041479"/>
              <a:gd name="connsiteY109" fmla="*/ 619188 h 619188"/>
              <a:gd name="connsiteX110" fmla="*/ 8041479 w 8041479"/>
              <a:gd name="connsiteY110" fmla="*/ 224499 h 619188"/>
              <a:gd name="connsiteX111" fmla="*/ 7816980 w 8041479"/>
              <a:gd name="connsiteY111" fmla="*/ 0 h 619188"/>
              <a:gd name="connsiteX112" fmla="*/ 224499 w 8041479"/>
              <a:gd name="connsiteY112" fmla="*/ 0 h 619188"/>
              <a:gd name="connsiteX113" fmla="*/ 0 w 8041479"/>
              <a:gd name="connsiteY113" fmla="*/ 224499 h 61918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  <a:cxn ang="0">
                <a:pos x="connsiteX102" y="connsiteY102"/>
              </a:cxn>
              <a:cxn ang="0">
                <a:pos x="connsiteX103" y="connsiteY103"/>
              </a:cxn>
              <a:cxn ang="0">
                <a:pos x="connsiteX104" y="connsiteY104"/>
              </a:cxn>
              <a:cxn ang="0">
                <a:pos x="connsiteX105" y="connsiteY105"/>
              </a:cxn>
              <a:cxn ang="0">
                <a:pos x="connsiteX106" y="connsiteY106"/>
              </a:cxn>
              <a:cxn ang="0">
                <a:pos x="connsiteX107" y="connsiteY107"/>
              </a:cxn>
              <a:cxn ang="0">
                <a:pos x="connsiteX108" y="connsiteY108"/>
              </a:cxn>
              <a:cxn ang="0">
                <a:pos x="connsiteX109" y="connsiteY109"/>
              </a:cxn>
              <a:cxn ang="0">
                <a:pos x="connsiteX110" y="connsiteY110"/>
              </a:cxn>
              <a:cxn ang="0">
                <a:pos x="connsiteX111" y="connsiteY111"/>
              </a:cxn>
              <a:cxn ang="0">
                <a:pos x="connsiteX112" y="connsiteY112"/>
              </a:cxn>
              <a:cxn ang="0">
                <a:pos x="connsiteX113" y="connsiteY113"/>
              </a:cxn>
            </a:cxnLst>
            <a:rect l="l" t="t" r="r" b="b"/>
            <a:pathLst>
              <a:path w="8041479" h="619188">
                <a:moveTo>
                  <a:pt x="7010626" y="322872"/>
                </a:moveTo>
                <a:cubicBezTo>
                  <a:pt x="6927365" y="322872"/>
                  <a:pt x="6851985" y="289124"/>
                  <a:pt x="6797421" y="234559"/>
                </a:cubicBezTo>
                <a:lnTo>
                  <a:pt x="6742835" y="153598"/>
                </a:lnTo>
                <a:lnTo>
                  <a:pt x="6744499" y="158958"/>
                </a:lnTo>
                <a:lnTo>
                  <a:pt x="6690125" y="78310"/>
                </a:lnTo>
                <a:cubicBezTo>
                  <a:pt x="6665932" y="54117"/>
                  <a:pt x="6637125" y="34542"/>
                  <a:pt x="6605138" y="21012"/>
                </a:cubicBezTo>
                <a:lnTo>
                  <a:pt x="6501070" y="1"/>
                </a:lnTo>
                <a:lnTo>
                  <a:pt x="6713419" y="1"/>
                </a:lnTo>
                <a:lnTo>
                  <a:pt x="6723954" y="1"/>
                </a:lnTo>
                <a:lnTo>
                  <a:pt x="7297300" y="1"/>
                </a:lnTo>
                <a:lnTo>
                  <a:pt x="7307833" y="1"/>
                </a:lnTo>
                <a:lnTo>
                  <a:pt x="7520184" y="1"/>
                </a:lnTo>
                <a:lnTo>
                  <a:pt x="7416116" y="21012"/>
                </a:lnTo>
                <a:cubicBezTo>
                  <a:pt x="7384129" y="34542"/>
                  <a:pt x="7355322" y="54117"/>
                  <a:pt x="7331129" y="78310"/>
                </a:cubicBezTo>
                <a:lnTo>
                  <a:pt x="7276755" y="158958"/>
                </a:lnTo>
                <a:lnTo>
                  <a:pt x="7278421" y="153593"/>
                </a:lnTo>
                <a:lnTo>
                  <a:pt x="7223831" y="234559"/>
                </a:lnTo>
                <a:cubicBezTo>
                  <a:pt x="7169267" y="289124"/>
                  <a:pt x="7093889" y="322872"/>
                  <a:pt x="7010626" y="322872"/>
                </a:cubicBezTo>
                <a:close/>
                <a:moveTo>
                  <a:pt x="5810985" y="322872"/>
                </a:moveTo>
                <a:cubicBezTo>
                  <a:pt x="5727724" y="322872"/>
                  <a:pt x="5652345" y="289124"/>
                  <a:pt x="5597781" y="234559"/>
                </a:cubicBezTo>
                <a:lnTo>
                  <a:pt x="5543194" y="153598"/>
                </a:lnTo>
                <a:lnTo>
                  <a:pt x="5544858" y="158958"/>
                </a:lnTo>
                <a:lnTo>
                  <a:pt x="5490484" y="78310"/>
                </a:lnTo>
                <a:cubicBezTo>
                  <a:pt x="5466292" y="54117"/>
                  <a:pt x="5437485" y="34542"/>
                  <a:pt x="5405497" y="21012"/>
                </a:cubicBezTo>
                <a:lnTo>
                  <a:pt x="5301429" y="1"/>
                </a:lnTo>
                <a:lnTo>
                  <a:pt x="5513778" y="1"/>
                </a:lnTo>
                <a:lnTo>
                  <a:pt x="5524313" y="1"/>
                </a:lnTo>
                <a:lnTo>
                  <a:pt x="6097659" y="1"/>
                </a:lnTo>
                <a:lnTo>
                  <a:pt x="6108193" y="1"/>
                </a:lnTo>
                <a:lnTo>
                  <a:pt x="6320543" y="1"/>
                </a:lnTo>
                <a:lnTo>
                  <a:pt x="6216476" y="21012"/>
                </a:lnTo>
                <a:cubicBezTo>
                  <a:pt x="6184488" y="34542"/>
                  <a:pt x="6155681" y="54117"/>
                  <a:pt x="6131488" y="78310"/>
                </a:cubicBezTo>
                <a:lnTo>
                  <a:pt x="6077114" y="158958"/>
                </a:lnTo>
                <a:lnTo>
                  <a:pt x="6078780" y="153593"/>
                </a:lnTo>
                <a:lnTo>
                  <a:pt x="6024190" y="234559"/>
                </a:lnTo>
                <a:cubicBezTo>
                  <a:pt x="5969626" y="289124"/>
                  <a:pt x="5894248" y="322872"/>
                  <a:pt x="5810985" y="322872"/>
                </a:cubicBezTo>
                <a:close/>
                <a:moveTo>
                  <a:pt x="4611346" y="322872"/>
                </a:moveTo>
                <a:cubicBezTo>
                  <a:pt x="4528085" y="322872"/>
                  <a:pt x="4452706" y="289124"/>
                  <a:pt x="4398142" y="234559"/>
                </a:cubicBezTo>
                <a:lnTo>
                  <a:pt x="4343555" y="153598"/>
                </a:lnTo>
                <a:lnTo>
                  <a:pt x="4345219" y="158958"/>
                </a:lnTo>
                <a:lnTo>
                  <a:pt x="4290845" y="78310"/>
                </a:lnTo>
                <a:cubicBezTo>
                  <a:pt x="4266653" y="54117"/>
                  <a:pt x="4237846" y="34542"/>
                  <a:pt x="4205858" y="21012"/>
                </a:cubicBezTo>
                <a:lnTo>
                  <a:pt x="4101790" y="1"/>
                </a:lnTo>
                <a:lnTo>
                  <a:pt x="4314139" y="1"/>
                </a:lnTo>
                <a:lnTo>
                  <a:pt x="4324674" y="1"/>
                </a:lnTo>
                <a:lnTo>
                  <a:pt x="4898020" y="1"/>
                </a:lnTo>
                <a:lnTo>
                  <a:pt x="4908554" y="1"/>
                </a:lnTo>
                <a:lnTo>
                  <a:pt x="5120904" y="1"/>
                </a:lnTo>
                <a:lnTo>
                  <a:pt x="5016837" y="21012"/>
                </a:lnTo>
                <a:cubicBezTo>
                  <a:pt x="4984849" y="34542"/>
                  <a:pt x="4956042" y="54117"/>
                  <a:pt x="4931849" y="78310"/>
                </a:cubicBezTo>
                <a:lnTo>
                  <a:pt x="4877475" y="158958"/>
                </a:lnTo>
                <a:lnTo>
                  <a:pt x="4879141" y="153593"/>
                </a:lnTo>
                <a:lnTo>
                  <a:pt x="4824551" y="234559"/>
                </a:lnTo>
                <a:cubicBezTo>
                  <a:pt x="4769987" y="289124"/>
                  <a:pt x="4694609" y="322872"/>
                  <a:pt x="4611346" y="322872"/>
                </a:cubicBezTo>
                <a:close/>
                <a:moveTo>
                  <a:pt x="3411707" y="322872"/>
                </a:moveTo>
                <a:cubicBezTo>
                  <a:pt x="3328446" y="322872"/>
                  <a:pt x="3253067" y="289124"/>
                  <a:pt x="3198503" y="234559"/>
                </a:cubicBezTo>
                <a:lnTo>
                  <a:pt x="3143916" y="153598"/>
                </a:lnTo>
                <a:lnTo>
                  <a:pt x="3145580" y="158958"/>
                </a:lnTo>
                <a:lnTo>
                  <a:pt x="3091206" y="78310"/>
                </a:lnTo>
                <a:cubicBezTo>
                  <a:pt x="3067014" y="54117"/>
                  <a:pt x="3038207" y="34542"/>
                  <a:pt x="3006219" y="21012"/>
                </a:cubicBezTo>
                <a:lnTo>
                  <a:pt x="2902151" y="1"/>
                </a:lnTo>
                <a:lnTo>
                  <a:pt x="3114500" y="1"/>
                </a:lnTo>
                <a:lnTo>
                  <a:pt x="3125035" y="1"/>
                </a:lnTo>
                <a:lnTo>
                  <a:pt x="3698381" y="1"/>
                </a:lnTo>
                <a:lnTo>
                  <a:pt x="3708915" y="1"/>
                </a:lnTo>
                <a:lnTo>
                  <a:pt x="3921265" y="1"/>
                </a:lnTo>
                <a:lnTo>
                  <a:pt x="3817198" y="21012"/>
                </a:lnTo>
                <a:cubicBezTo>
                  <a:pt x="3785210" y="34542"/>
                  <a:pt x="3756403" y="54117"/>
                  <a:pt x="3732210" y="78310"/>
                </a:cubicBezTo>
                <a:lnTo>
                  <a:pt x="3677836" y="158958"/>
                </a:lnTo>
                <a:lnTo>
                  <a:pt x="3679502" y="153593"/>
                </a:lnTo>
                <a:lnTo>
                  <a:pt x="3624912" y="234559"/>
                </a:lnTo>
                <a:cubicBezTo>
                  <a:pt x="3570348" y="289124"/>
                  <a:pt x="3494970" y="322872"/>
                  <a:pt x="3411707" y="322872"/>
                </a:cubicBezTo>
                <a:close/>
                <a:moveTo>
                  <a:pt x="2212068" y="322872"/>
                </a:moveTo>
                <a:cubicBezTo>
                  <a:pt x="2128807" y="322872"/>
                  <a:pt x="2053428" y="289124"/>
                  <a:pt x="1998864" y="234559"/>
                </a:cubicBezTo>
                <a:lnTo>
                  <a:pt x="1944278" y="153598"/>
                </a:lnTo>
                <a:lnTo>
                  <a:pt x="1945942" y="158958"/>
                </a:lnTo>
                <a:lnTo>
                  <a:pt x="1891568" y="78310"/>
                </a:lnTo>
                <a:cubicBezTo>
                  <a:pt x="1867375" y="54117"/>
                  <a:pt x="1838568" y="34542"/>
                  <a:pt x="1806580" y="21012"/>
                </a:cubicBezTo>
                <a:lnTo>
                  <a:pt x="1702512" y="1"/>
                </a:lnTo>
                <a:lnTo>
                  <a:pt x="1914861" y="1"/>
                </a:lnTo>
                <a:lnTo>
                  <a:pt x="1925397" y="1"/>
                </a:lnTo>
                <a:lnTo>
                  <a:pt x="2498742" y="1"/>
                </a:lnTo>
                <a:lnTo>
                  <a:pt x="2509276" y="1"/>
                </a:lnTo>
                <a:lnTo>
                  <a:pt x="2721626" y="1"/>
                </a:lnTo>
                <a:lnTo>
                  <a:pt x="2617559" y="21012"/>
                </a:lnTo>
                <a:cubicBezTo>
                  <a:pt x="2585571" y="34542"/>
                  <a:pt x="2556764" y="54117"/>
                  <a:pt x="2532571" y="78310"/>
                </a:cubicBezTo>
                <a:lnTo>
                  <a:pt x="2478197" y="158958"/>
                </a:lnTo>
                <a:lnTo>
                  <a:pt x="2479863" y="153593"/>
                </a:lnTo>
                <a:lnTo>
                  <a:pt x="2425273" y="234559"/>
                </a:lnTo>
                <a:cubicBezTo>
                  <a:pt x="2370709" y="289124"/>
                  <a:pt x="2295331" y="322872"/>
                  <a:pt x="2212068" y="322872"/>
                </a:cubicBezTo>
                <a:close/>
                <a:moveTo>
                  <a:pt x="1012430" y="322872"/>
                </a:moveTo>
                <a:cubicBezTo>
                  <a:pt x="929170" y="322872"/>
                  <a:pt x="853790" y="289124"/>
                  <a:pt x="799225" y="234559"/>
                </a:cubicBezTo>
                <a:lnTo>
                  <a:pt x="744639" y="153598"/>
                </a:lnTo>
                <a:lnTo>
                  <a:pt x="746303" y="158958"/>
                </a:lnTo>
                <a:lnTo>
                  <a:pt x="691929" y="78310"/>
                </a:lnTo>
                <a:cubicBezTo>
                  <a:pt x="667737" y="54117"/>
                  <a:pt x="638930" y="34542"/>
                  <a:pt x="606942" y="21012"/>
                </a:cubicBezTo>
                <a:lnTo>
                  <a:pt x="502874" y="1"/>
                </a:lnTo>
                <a:lnTo>
                  <a:pt x="715223" y="1"/>
                </a:lnTo>
                <a:lnTo>
                  <a:pt x="725758" y="1"/>
                </a:lnTo>
                <a:lnTo>
                  <a:pt x="1299104" y="1"/>
                </a:lnTo>
                <a:lnTo>
                  <a:pt x="1309638" y="1"/>
                </a:lnTo>
                <a:lnTo>
                  <a:pt x="1521988" y="1"/>
                </a:lnTo>
                <a:lnTo>
                  <a:pt x="1417921" y="21012"/>
                </a:lnTo>
                <a:cubicBezTo>
                  <a:pt x="1385933" y="34542"/>
                  <a:pt x="1357126" y="54117"/>
                  <a:pt x="1332933" y="78310"/>
                </a:cubicBezTo>
                <a:lnTo>
                  <a:pt x="1278559" y="158958"/>
                </a:lnTo>
                <a:lnTo>
                  <a:pt x="1280225" y="153593"/>
                </a:lnTo>
                <a:lnTo>
                  <a:pt x="1225636" y="234559"/>
                </a:lnTo>
                <a:cubicBezTo>
                  <a:pt x="1171071" y="289124"/>
                  <a:pt x="1095693" y="322872"/>
                  <a:pt x="1012430" y="322872"/>
                </a:cubicBezTo>
                <a:close/>
                <a:moveTo>
                  <a:pt x="0" y="619188"/>
                </a:moveTo>
                <a:lnTo>
                  <a:pt x="8041479" y="619188"/>
                </a:lnTo>
                <a:lnTo>
                  <a:pt x="8041479" y="224499"/>
                </a:lnTo>
                <a:cubicBezTo>
                  <a:pt x="8041479" y="100512"/>
                  <a:pt x="7940967" y="0"/>
                  <a:pt x="7816980" y="0"/>
                </a:cubicBezTo>
                <a:lnTo>
                  <a:pt x="224499" y="0"/>
                </a:lnTo>
                <a:cubicBezTo>
                  <a:pt x="100512" y="0"/>
                  <a:pt x="0" y="100512"/>
                  <a:pt x="0" y="224499"/>
                </a:cubicBezTo>
                <a:close/>
              </a:path>
            </a:pathLst>
          </a:custGeom>
          <a:gradFill flip="none" rotWithShape="1">
            <a:gsLst>
              <a:gs pos="0">
                <a:srgbClr val="0A74BD">
                  <a:lumMod val="99000"/>
                </a:srgbClr>
              </a:gs>
              <a:gs pos="100000">
                <a:srgbClr val="0070C0"/>
              </a:gs>
            </a:gsLst>
            <a:lin ang="5400000" scaled="1"/>
            <a:tileRect/>
          </a:gra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s-CO" sz="1100"/>
          </a:p>
        </xdr:txBody>
      </xdr:sp>
      <xdr:grpSp>
        <xdr:nvGrpSpPr>
          <xdr:cNvPr id="6" name="Grupo 5">
            <a:extLst>
              <a:ext uri="{FF2B5EF4-FFF2-40B4-BE49-F238E27FC236}">
                <a16:creationId xmlns:a16="http://schemas.microsoft.com/office/drawing/2014/main" id="{E18A4C5E-1BC4-4B41-6F12-BCE62EC1D4FC}"/>
              </a:ext>
            </a:extLst>
          </xdr:cNvPr>
          <xdr:cNvGrpSpPr/>
        </xdr:nvGrpSpPr>
        <xdr:grpSpPr>
          <a:xfrm>
            <a:off x="1015305" y="56963"/>
            <a:ext cx="1061785" cy="761628"/>
            <a:chOff x="2536026" y="3075466"/>
            <a:chExt cx="1061222" cy="761628"/>
          </a:xfrm>
        </xdr:grpSpPr>
        <xdr:sp macro="[0]!Optativas" textlink="">
          <xdr:nvSpPr>
            <xdr:cNvPr id="31" name="Elipse 30">
              <a:extLst>
                <a:ext uri="{FF2B5EF4-FFF2-40B4-BE49-F238E27FC236}">
                  <a16:creationId xmlns:a16="http://schemas.microsoft.com/office/drawing/2014/main" id="{88DC0787-B172-15A9-4B22-3C20D829D9F9}"/>
                </a:ext>
              </a:extLst>
            </xdr:cNvPr>
            <xdr:cNvSpPr/>
          </xdr:nvSpPr>
          <xdr:spPr>
            <a:xfrm>
              <a:off x="2854280" y="3370274"/>
              <a:ext cx="466822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sp macro="[0]!Optativas" textlink="">
          <xdr:nvSpPr>
            <xdr:cNvPr id="32" name="CuadroTexto 32">
              <a:extLst>
                <a:ext uri="{FF2B5EF4-FFF2-40B4-BE49-F238E27FC236}">
                  <a16:creationId xmlns:a16="http://schemas.microsoft.com/office/drawing/2014/main" id="{E1663AA8-C26F-F40A-0DAC-9C03AA53FF7A}"/>
                </a:ext>
              </a:extLst>
            </xdr:cNvPr>
            <xdr:cNvSpPr txBox="1"/>
          </xdr:nvSpPr>
          <xdr:spPr>
            <a:xfrm>
              <a:off x="2536026" y="3075466"/>
              <a:ext cx="1061222" cy="20355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Ingreso</a:t>
              </a:r>
              <a:r>
                <a:rPr lang="es-CO" sz="700" b="1" baseline="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 Electivas</a:t>
              </a:r>
              <a:endPara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pic macro="[0]!Optativas">
          <xdr:nvPicPr>
            <xdr:cNvPr id="33" name="Gráfico 47" descr="Libros con relleno sólido">
              <a:extLst>
                <a:ext uri="{FF2B5EF4-FFF2-40B4-BE49-F238E27FC236}">
                  <a16:creationId xmlns:a16="http://schemas.microsoft.com/office/drawing/2014/main" id="{F24CD184-4BAF-A31B-F3A8-CFBFB916244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extLst>
                <a:ext uri="{96DAC541-7B7A-43D3-8B79-37D633B846F1}">
                  <asvg:svgBlip xmlns:asvg="http://schemas.microsoft.com/office/drawing/2016/SVG/main" r:embed="rId3"/>
                </a:ext>
              </a:extLst>
            </a:blip>
            <a:stretch>
              <a:fillRect/>
            </a:stretch>
          </xdr:blipFill>
          <xdr:spPr>
            <a:xfrm>
              <a:off x="2979691" y="3493960"/>
              <a:ext cx="216000" cy="216000"/>
            </a:xfrm>
            <a:prstGeom prst="rect">
              <a:avLst/>
            </a:prstGeom>
            <a:effectLst/>
          </xdr:spPr>
        </xdr:pic>
      </xdr:grpSp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60728E09-971B-AE5D-92FB-0F418022B594}"/>
              </a:ext>
            </a:extLst>
          </xdr:cNvPr>
          <xdr:cNvGrpSpPr/>
        </xdr:nvGrpSpPr>
        <xdr:grpSpPr>
          <a:xfrm>
            <a:off x="2374853" y="56963"/>
            <a:ext cx="1061222" cy="761628"/>
            <a:chOff x="2377104" y="56963"/>
            <a:chExt cx="1061222" cy="761628"/>
          </a:xfrm>
        </xdr:grpSpPr>
        <xdr:sp macro="[0]!IngresoNotas" textlink="">
          <xdr:nvSpPr>
            <xdr:cNvPr id="28" name="Elipse 27">
              <a:extLst>
                <a:ext uri="{FF2B5EF4-FFF2-40B4-BE49-F238E27FC236}">
                  <a16:creationId xmlns:a16="http://schemas.microsoft.com/office/drawing/2014/main" id="{FF2A2D03-DF6A-D531-8F5E-425D5A98E68F}"/>
                </a:ext>
              </a:extLst>
            </xdr:cNvPr>
            <xdr:cNvSpPr/>
          </xdr:nvSpPr>
          <xdr:spPr>
            <a:xfrm>
              <a:off x="2695358" y="351771"/>
              <a:ext cx="466822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sp macro="[0]!IngresoNotas" textlink="">
          <xdr:nvSpPr>
            <xdr:cNvPr id="29" name="CuadroTexto 32">
              <a:extLst>
                <a:ext uri="{FF2B5EF4-FFF2-40B4-BE49-F238E27FC236}">
                  <a16:creationId xmlns:a16="http://schemas.microsoft.com/office/drawing/2014/main" id="{1D055932-F3BC-77B0-D0BA-D64C825C521A}"/>
                </a:ext>
              </a:extLst>
            </xdr:cNvPr>
            <xdr:cNvSpPr txBox="1"/>
          </xdr:nvSpPr>
          <xdr:spPr>
            <a:xfrm>
              <a:off x="2377104" y="56963"/>
              <a:ext cx="1061222" cy="20355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Ingreso</a:t>
              </a:r>
              <a:r>
                <a:rPr lang="es-CO" sz="700" b="1" baseline="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 Notas</a:t>
              </a:r>
              <a:endPara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pic macro="[0]!IngresoNotas">
          <xdr:nvPicPr>
            <xdr:cNvPr id="30" name="Gráfico 537" descr="Portapapeles con relleno sólido">
              <a:extLst>
                <a:ext uri="{FF2B5EF4-FFF2-40B4-BE49-F238E27FC236}">
                  <a16:creationId xmlns:a16="http://schemas.microsoft.com/office/drawing/2014/main" id="{533B7791-3FF3-E882-B19F-98C89B95337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96DAC541-7B7A-43D3-8B79-37D633B846F1}">
                  <asvg:svgBlip xmlns:asvg="http://schemas.microsoft.com/office/drawing/2016/SVG/main" r:embed="rId5"/>
                </a:ext>
              </a:extLst>
            </a:blip>
            <a:stretch>
              <a:fillRect/>
            </a:stretch>
          </xdr:blipFill>
          <xdr:spPr>
            <a:xfrm>
              <a:off x="2820769" y="475457"/>
              <a:ext cx="216000" cy="216000"/>
            </a:xfrm>
            <a:prstGeom prst="rect">
              <a:avLst/>
            </a:prstGeom>
            <a:effectLst/>
          </xdr:spPr>
        </xdr:pic>
      </xdr:grpSp>
      <xdr:grpSp>
        <xdr:nvGrpSpPr>
          <xdr:cNvPr id="8" name="Grupo 7">
            <a:extLst>
              <a:ext uri="{FF2B5EF4-FFF2-40B4-BE49-F238E27FC236}">
                <a16:creationId xmlns:a16="http://schemas.microsoft.com/office/drawing/2014/main" id="{25122BC9-A09B-2B1C-0216-8ACC3BF81ED0}"/>
              </a:ext>
            </a:extLst>
          </xdr:cNvPr>
          <xdr:cNvGrpSpPr/>
        </xdr:nvGrpSpPr>
        <xdr:grpSpPr>
          <a:xfrm>
            <a:off x="7810797" y="56963"/>
            <a:ext cx="1062346" cy="761628"/>
            <a:chOff x="7808545" y="56963"/>
            <a:chExt cx="1061222" cy="761628"/>
          </a:xfrm>
        </xdr:grpSpPr>
        <xdr:sp macro="[0]!Reiniciar" textlink="">
          <xdr:nvSpPr>
            <xdr:cNvPr id="25" name="Elipse 24">
              <a:extLst>
                <a:ext uri="{FF2B5EF4-FFF2-40B4-BE49-F238E27FC236}">
                  <a16:creationId xmlns:a16="http://schemas.microsoft.com/office/drawing/2014/main" id="{273AAAF9-E612-B4CC-8273-56F83C2A316D}"/>
                </a:ext>
              </a:extLst>
            </xdr:cNvPr>
            <xdr:cNvSpPr/>
          </xdr:nvSpPr>
          <xdr:spPr>
            <a:xfrm>
              <a:off x="8126799" y="351771"/>
              <a:ext cx="466822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sp macro="[0]!Reiniciar" textlink="">
          <xdr:nvSpPr>
            <xdr:cNvPr id="26" name="CuadroTexto 32">
              <a:extLst>
                <a:ext uri="{FF2B5EF4-FFF2-40B4-BE49-F238E27FC236}">
                  <a16:creationId xmlns:a16="http://schemas.microsoft.com/office/drawing/2014/main" id="{63277D61-4993-9C72-75FA-8E91B67EC29D}"/>
                </a:ext>
              </a:extLst>
            </xdr:cNvPr>
            <xdr:cNvSpPr txBox="1"/>
          </xdr:nvSpPr>
          <xdr:spPr>
            <a:xfrm>
              <a:off x="7808545" y="56963"/>
              <a:ext cx="1061222" cy="20355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Reiniciar</a:t>
              </a:r>
            </a:p>
          </xdr:txBody>
        </xdr:sp>
        <xdr:pic macro="[0]!Reiniciar">
          <xdr:nvPicPr>
            <xdr:cNvPr id="27" name="Gráfico 534" descr="Potencia con relleno sólido">
              <a:extLst>
                <a:ext uri="{FF2B5EF4-FFF2-40B4-BE49-F238E27FC236}">
                  <a16:creationId xmlns:a16="http://schemas.microsoft.com/office/drawing/2014/main" id="{65241B54-2EBE-AF5E-7677-2E6E730C096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96DAC541-7B7A-43D3-8B79-37D633B846F1}">
                  <asvg:svgBlip xmlns:asvg="http://schemas.microsoft.com/office/drawing/2016/SVG/main" r:embed="rId7"/>
                </a:ext>
              </a:extLst>
            </a:blip>
            <a:stretch>
              <a:fillRect/>
            </a:stretch>
          </xdr:blipFill>
          <xdr:spPr>
            <a:xfrm>
              <a:off x="8252210" y="473259"/>
              <a:ext cx="216000" cy="216000"/>
            </a:xfrm>
            <a:prstGeom prst="rect">
              <a:avLst/>
            </a:prstGeom>
            <a:effectLst/>
          </xdr:spPr>
        </xdr:pic>
      </xdr:grpSp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EDA4ACCC-8719-660F-D07A-1BD75B0C2663}"/>
              </a:ext>
            </a:extLst>
          </xdr:cNvPr>
          <xdr:cNvGrpSpPr/>
        </xdr:nvGrpSpPr>
        <xdr:grpSpPr>
          <a:xfrm>
            <a:off x="6451810" y="56963"/>
            <a:ext cx="1062348" cy="761628"/>
            <a:chOff x="7334582" y="3075466"/>
            <a:chExt cx="1061222" cy="761628"/>
          </a:xfrm>
        </xdr:grpSpPr>
        <xdr:sp macro="[0]!GuardarPDF" textlink="">
          <xdr:nvSpPr>
            <xdr:cNvPr id="22" name="Elipse 21">
              <a:extLst>
                <a:ext uri="{FF2B5EF4-FFF2-40B4-BE49-F238E27FC236}">
                  <a16:creationId xmlns:a16="http://schemas.microsoft.com/office/drawing/2014/main" id="{C497980F-BD3C-513F-BBC0-63E4C3517508}"/>
                </a:ext>
              </a:extLst>
            </xdr:cNvPr>
            <xdr:cNvSpPr/>
          </xdr:nvSpPr>
          <xdr:spPr>
            <a:xfrm>
              <a:off x="7652836" y="3370274"/>
              <a:ext cx="466822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sp macro="[0]!GuardarPDF" textlink="">
          <xdr:nvSpPr>
            <xdr:cNvPr id="23" name="CuadroTexto 32">
              <a:extLst>
                <a:ext uri="{FF2B5EF4-FFF2-40B4-BE49-F238E27FC236}">
                  <a16:creationId xmlns:a16="http://schemas.microsoft.com/office/drawing/2014/main" id="{B30936B6-4745-6092-E98A-B163F87112C6}"/>
                </a:ext>
              </a:extLst>
            </xdr:cNvPr>
            <xdr:cNvSpPr txBox="1"/>
          </xdr:nvSpPr>
          <xdr:spPr>
            <a:xfrm>
              <a:off x="7334582" y="3075466"/>
              <a:ext cx="1061222" cy="20355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Guardar PDF</a:t>
              </a:r>
            </a:p>
          </xdr:txBody>
        </xdr:sp>
        <xdr:pic macro="[0]!GuardarPDF">
          <xdr:nvPicPr>
            <xdr:cNvPr id="24" name="Gráfico 535" descr="Clip con relleno sólido">
              <a:extLst>
                <a:ext uri="{FF2B5EF4-FFF2-40B4-BE49-F238E27FC236}">
                  <a16:creationId xmlns:a16="http://schemas.microsoft.com/office/drawing/2014/main" id="{1B45CFAF-A471-7B7A-A4E1-76084AB5A6B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extLs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7778247" y="3508643"/>
              <a:ext cx="216000" cy="216000"/>
            </a:xfrm>
            <a:prstGeom prst="rect">
              <a:avLst/>
            </a:prstGeom>
            <a:effectLst/>
          </xdr:spPr>
        </xdr:pic>
      </xdr:grpSp>
      <xdr:grpSp>
        <xdr:nvGrpSpPr>
          <xdr:cNvPr id="10" name="Grupo 9">
            <a:extLst>
              <a:ext uri="{FF2B5EF4-FFF2-40B4-BE49-F238E27FC236}">
                <a16:creationId xmlns:a16="http://schemas.microsoft.com/office/drawing/2014/main" id="{D9DEC2A0-81E4-7FC1-658A-48DF605A7A22}"/>
              </a:ext>
            </a:extLst>
          </xdr:cNvPr>
          <xdr:cNvGrpSpPr/>
        </xdr:nvGrpSpPr>
        <xdr:grpSpPr>
          <a:xfrm>
            <a:off x="3763006" y="56963"/>
            <a:ext cx="1063473" cy="761628"/>
            <a:chOff x="3765257" y="56963"/>
            <a:chExt cx="1061222" cy="761628"/>
          </a:xfrm>
        </xdr:grpSpPr>
        <xdr:sp macro="[0]!IngresoFirmas" textlink="">
          <xdr:nvSpPr>
            <xdr:cNvPr id="19" name="Elipse 18">
              <a:extLst>
                <a:ext uri="{FF2B5EF4-FFF2-40B4-BE49-F238E27FC236}">
                  <a16:creationId xmlns:a16="http://schemas.microsoft.com/office/drawing/2014/main" id="{7ABF70DF-D194-F2F3-ED8F-4156FF3E4FC5}"/>
                </a:ext>
              </a:extLst>
            </xdr:cNvPr>
            <xdr:cNvSpPr/>
          </xdr:nvSpPr>
          <xdr:spPr>
            <a:xfrm>
              <a:off x="4061003" y="351771"/>
              <a:ext cx="466822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sp macro="[0]!IngresoFirmas" textlink="">
          <xdr:nvSpPr>
            <xdr:cNvPr id="20" name="CuadroTexto 32">
              <a:extLst>
                <a:ext uri="{FF2B5EF4-FFF2-40B4-BE49-F238E27FC236}">
                  <a16:creationId xmlns:a16="http://schemas.microsoft.com/office/drawing/2014/main" id="{BA68316E-1422-302B-DF42-7D621284EEAD}"/>
                </a:ext>
              </a:extLst>
            </xdr:cNvPr>
            <xdr:cNvSpPr txBox="1"/>
          </xdr:nvSpPr>
          <xdr:spPr>
            <a:xfrm>
              <a:off x="3765257" y="56963"/>
              <a:ext cx="1061222" cy="20355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Ingreso firmas</a:t>
              </a:r>
            </a:p>
          </xdr:txBody>
        </xdr:sp>
        <xdr:pic macro="[0]!IngresoFirmas">
          <xdr:nvPicPr>
            <xdr:cNvPr id="21" name="Gráfico 536" descr="Firma con relleno sólido">
              <a:extLst>
                <a:ext uri="{FF2B5EF4-FFF2-40B4-BE49-F238E27FC236}">
                  <a16:creationId xmlns:a16="http://schemas.microsoft.com/office/drawing/2014/main" id="{75A93567-6E92-AD3F-C7FE-6E985F89602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extLst>
                <a:ext uri="{96DAC541-7B7A-43D3-8B79-37D633B846F1}">
                  <asvg:svgBlip xmlns:asvg="http://schemas.microsoft.com/office/drawing/2016/SVG/main" r:embed="rId11"/>
                </a:ext>
              </a:extLst>
            </a:blip>
            <a:stretch>
              <a:fillRect/>
            </a:stretch>
          </xdr:blipFill>
          <xdr:spPr>
            <a:xfrm>
              <a:off x="4176033" y="462112"/>
              <a:ext cx="216000" cy="216000"/>
            </a:xfrm>
            <a:prstGeom prst="rect">
              <a:avLst/>
            </a:prstGeom>
            <a:effectLst/>
          </xdr:spPr>
        </xdr:pic>
      </xdr:grpSp>
      <xdr:grpSp>
        <xdr:nvGrpSpPr>
          <xdr:cNvPr id="11" name="Grupo 10">
            <a:extLst>
              <a:ext uri="{FF2B5EF4-FFF2-40B4-BE49-F238E27FC236}">
                <a16:creationId xmlns:a16="http://schemas.microsoft.com/office/drawing/2014/main" id="{4A50A751-0CE6-D527-3BC8-795B5672D0C6}"/>
              </a:ext>
            </a:extLst>
          </xdr:cNvPr>
          <xdr:cNvGrpSpPr/>
        </xdr:nvGrpSpPr>
        <xdr:grpSpPr>
          <a:xfrm>
            <a:off x="4917398" y="56962"/>
            <a:ext cx="1415172" cy="761629"/>
            <a:chOff x="4917482" y="56962"/>
            <a:chExt cx="1413880" cy="761629"/>
          </a:xfrm>
        </xdr:grpSpPr>
        <xdr:sp macro="[0]!Observaciones" textlink="">
          <xdr:nvSpPr>
            <xdr:cNvPr id="13" name="CuadroTexto 32">
              <a:extLst>
                <a:ext uri="{FF2B5EF4-FFF2-40B4-BE49-F238E27FC236}">
                  <a16:creationId xmlns:a16="http://schemas.microsoft.com/office/drawing/2014/main" id="{1C66084D-F8A7-B86E-7021-F89B511E7AD0}"/>
                </a:ext>
              </a:extLst>
            </xdr:cNvPr>
            <xdr:cNvSpPr txBox="1"/>
          </xdr:nvSpPr>
          <xdr:spPr>
            <a:xfrm>
              <a:off x="4917482" y="56962"/>
              <a:ext cx="1413880" cy="23631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Ingreso observaciones</a:t>
              </a:r>
            </a:p>
          </xdr:txBody>
        </xdr:sp>
        <xdr:sp macro="[0]!Observaciones" textlink="">
          <xdr:nvSpPr>
            <xdr:cNvPr id="17" name="Elipse 16">
              <a:extLst>
                <a:ext uri="{FF2B5EF4-FFF2-40B4-BE49-F238E27FC236}">
                  <a16:creationId xmlns:a16="http://schemas.microsoft.com/office/drawing/2014/main" id="{BCC7A1D7-84F9-B724-E09B-2081AC79C7C8}"/>
                </a:ext>
              </a:extLst>
            </xdr:cNvPr>
            <xdr:cNvSpPr/>
          </xdr:nvSpPr>
          <xdr:spPr>
            <a:xfrm>
              <a:off x="5404916" y="351771"/>
              <a:ext cx="466822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pic macro="[0]!Observaciones">
          <xdr:nvPicPr>
            <xdr:cNvPr id="18" name="Gráfico 17" descr="Burbuja de chat con relleno sólido">
              <a:extLst>
                <a:ext uri="{FF2B5EF4-FFF2-40B4-BE49-F238E27FC236}">
                  <a16:creationId xmlns:a16="http://schemas.microsoft.com/office/drawing/2014/main" id="{65A34F44-A1F4-E209-2D59-F2B96010F09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>
              <a:extLst>
                <a:ext uri="{96DAC541-7B7A-43D3-8B79-37D633B846F1}">
                  <asvg:svgBlip xmlns:asvg="http://schemas.microsoft.com/office/drawing/2016/SVG/main" r:embed="rId13"/>
                </a:ext>
              </a:extLst>
            </a:blip>
            <a:stretch>
              <a:fillRect/>
            </a:stretch>
          </xdr:blipFill>
          <xdr:spPr>
            <a:xfrm>
              <a:off x="5492023" y="461385"/>
              <a:ext cx="292608" cy="292608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4</xdr:col>
      <xdr:colOff>251130</xdr:colOff>
      <xdr:row>12</xdr:row>
      <xdr:rowOff>7720</xdr:rowOff>
    </xdr:from>
    <xdr:to>
      <xdr:col>10</xdr:col>
      <xdr:colOff>307686</xdr:colOff>
      <xdr:row>60</xdr:row>
      <xdr:rowOff>0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A9281EE5-3E85-4B31-BC09-65F13842A0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66621" y="2903320"/>
          <a:ext cx="6304956" cy="8637516"/>
        </a:xfrm>
        <a:prstGeom prst="rect">
          <a:avLst/>
        </a:prstGeom>
      </xdr:spPr>
    </xdr:pic>
    <xdr:clientData/>
  </xdr:twoCellAnchor>
  <xdr:twoCellAnchor>
    <xdr:from>
      <xdr:col>5</xdr:col>
      <xdr:colOff>563210</xdr:colOff>
      <xdr:row>70</xdr:row>
      <xdr:rowOff>1</xdr:rowOff>
    </xdr:from>
    <xdr:to>
      <xdr:col>5</xdr:col>
      <xdr:colOff>1280830</xdr:colOff>
      <xdr:row>74</xdr:row>
      <xdr:rowOff>1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D52389EF-2461-D576-756D-3F829203B1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5"/>
        <a:stretch>
          <a:fillRect/>
        </a:stretch>
      </xdr:blipFill>
      <xdr:spPr>
        <a:xfrm>
          <a:off x="3877910" y="13472161"/>
          <a:ext cx="717620" cy="563880"/>
        </a:xfrm>
        <a:prstGeom prst="rect">
          <a:avLst/>
        </a:prstGeom>
      </xdr:spPr>
    </xdr:pic>
    <xdr:clientData/>
  </xdr:twoCellAnchor>
  <xdr:twoCellAnchor>
    <xdr:from>
      <xdr:col>8</xdr:col>
      <xdr:colOff>1249010</xdr:colOff>
      <xdr:row>70</xdr:row>
      <xdr:rowOff>1</xdr:rowOff>
    </xdr:from>
    <xdr:to>
      <xdr:col>9</xdr:col>
      <xdr:colOff>31150</xdr:colOff>
      <xdr:row>74</xdr:row>
      <xdr:rowOff>1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19177233-3D87-27ED-0815-00A182CEB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6"/>
        <a:stretch>
          <a:fillRect/>
        </a:stretch>
      </xdr:blipFill>
      <xdr:spPr>
        <a:xfrm>
          <a:off x="7642190" y="13472161"/>
          <a:ext cx="717620" cy="5638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350520</xdr:colOff>
      <xdr:row>197</xdr:row>
      <xdr:rowOff>45720</xdr:rowOff>
    </xdr:from>
    <xdr:to>
      <xdr:col>12</xdr:col>
      <xdr:colOff>68808</xdr:colOff>
      <xdr:row>253</xdr:row>
      <xdr:rowOff>131860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787B5F24-FF9D-426A-B0E9-963797EFF4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05100" y="36073080"/>
          <a:ext cx="6782028" cy="1032742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320040</xdr:colOff>
          <xdr:row>3</xdr:row>
          <xdr:rowOff>167640</xdr:rowOff>
        </xdr:from>
        <xdr:to>
          <xdr:col>11</xdr:col>
          <xdr:colOff>167640</xdr:colOff>
          <xdr:row>7</xdr:row>
          <xdr:rowOff>45720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10</xdr:col>
      <xdr:colOff>471526</xdr:colOff>
      <xdr:row>0</xdr:row>
      <xdr:rowOff>0</xdr:rowOff>
    </xdr:from>
    <xdr:to>
      <xdr:col>18</xdr:col>
      <xdr:colOff>400078</xdr:colOff>
      <xdr:row>47</xdr:row>
      <xdr:rowOff>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95D6CD1-AB92-4ED9-91B4-CFD0663D6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78906" y="0"/>
          <a:ext cx="6024552" cy="8983980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image" Target="../media/image15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autoPageBreaks="0" fitToPage="1"/>
  </sheetPr>
  <dimension ref="A1:N79"/>
  <sheetViews>
    <sheetView showGridLines="0" showRuler="0" zoomScale="115" zoomScaleNormal="115" zoomScaleSheetLayoutView="100" workbookViewId="0">
      <pane ySplit="1" topLeftCell="A2" activePane="bottomLeft" state="frozen"/>
      <selection pane="bottomLeft" activeCell="C69" sqref="C69:L69"/>
    </sheetView>
  </sheetViews>
  <sheetFormatPr baseColWidth="10" defaultColWidth="11.109375" defaultRowHeight="12" x14ac:dyDescent="0.3"/>
  <cols>
    <col min="1" max="1" width="23.44140625" style="47" customWidth="1"/>
    <col min="2" max="2" width="4.44140625" style="31" customWidth="1"/>
    <col min="3" max="3" width="4.44140625" style="81" customWidth="1"/>
    <col min="4" max="4" width="7.33203125" style="31" customWidth="1"/>
    <col min="5" max="5" width="8.6640625" style="32" customWidth="1"/>
    <col min="6" max="6" width="28.21875" style="32" customWidth="1"/>
    <col min="7" max="7" width="7.33203125" style="31" customWidth="1"/>
    <col min="8" max="8" width="9.33203125" style="32" customWidth="1"/>
    <col min="9" max="9" width="28.21875" style="32" customWidth="1"/>
    <col min="10" max="10" width="9.33203125" style="33" customWidth="1"/>
    <col min="11" max="12" width="9.33203125" style="31" customWidth="1"/>
    <col min="13" max="13" width="4.44140625" style="31" customWidth="1"/>
    <col min="14" max="14" width="5.44140625" style="31" customWidth="1"/>
    <col min="15" max="16384" width="11.109375" style="31"/>
  </cols>
  <sheetData>
    <row r="1" spans="2:13" ht="70.95" customHeight="1" x14ac:dyDescent="0.3"/>
    <row r="2" spans="2:13" ht="25.95" customHeight="1" x14ac:dyDescent="0.3">
      <c r="B2" s="37"/>
      <c r="C2" s="82"/>
      <c r="D2" s="34"/>
      <c r="E2" s="35"/>
      <c r="F2" s="52"/>
      <c r="G2" s="34"/>
      <c r="H2" s="35"/>
      <c r="I2" s="35"/>
      <c r="J2" s="36"/>
      <c r="K2" s="34"/>
      <c r="L2" s="34"/>
      <c r="M2" s="39"/>
    </row>
    <row r="3" spans="2:13" ht="12.45" customHeight="1" x14ac:dyDescent="0.3">
      <c r="B3" s="38"/>
      <c r="C3" s="194" t="s">
        <v>0</v>
      </c>
      <c r="D3" s="195"/>
      <c r="E3" s="178" t="s">
        <v>1</v>
      </c>
      <c r="F3" s="179"/>
      <c r="G3" s="179"/>
      <c r="H3" s="179"/>
      <c r="I3" s="180"/>
      <c r="J3" s="174" t="s">
        <v>2</v>
      </c>
      <c r="K3" s="174"/>
      <c r="L3" s="174"/>
      <c r="M3" s="40"/>
    </row>
    <row r="4" spans="2:13" ht="12.45" customHeight="1" x14ac:dyDescent="0.3">
      <c r="B4" s="38"/>
      <c r="C4" s="196"/>
      <c r="D4" s="197"/>
      <c r="E4" s="181"/>
      <c r="F4" s="182"/>
      <c r="G4" s="182"/>
      <c r="H4" s="182"/>
      <c r="I4" s="183"/>
      <c r="J4" s="175"/>
      <c r="K4" s="175"/>
      <c r="L4" s="175"/>
      <c r="M4" s="40"/>
    </row>
    <row r="5" spans="2:13" ht="12.45" customHeight="1" x14ac:dyDescent="0.3">
      <c r="B5" s="38"/>
      <c r="C5" s="196"/>
      <c r="D5" s="197"/>
      <c r="E5" s="184" t="s">
        <v>3</v>
      </c>
      <c r="F5" s="185"/>
      <c r="G5" s="185"/>
      <c r="H5" s="185"/>
      <c r="I5" s="186"/>
      <c r="J5" s="204" t="s">
        <v>4</v>
      </c>
      <c r="K5" s="205"/>
      <c r="L5" s="202" t="s">
        <v>5</v>
      </c>
      <c r="M5" s="40"/>
    </row>
    <row r="6" spans="2:13" ht="12.45" customHeight="1" x14ac:dyDescent="0.3">
      <c r="B6" s="38"/>
      <c r="C6" s="198"/>
      <c r="D6" s="199"/>
      <c r="E6" s="187" t="s">
        <v>6</v>
      </c>
      <c r="F6" s="188"/>
      <c r="G6" s="188"/>
      <c r="H6" s="188"/>
      <c r="I6" s="189"/>
      <c r="J6" s="206"/>
      <c r="K6" s="207"/>
      <c r="L6" s="203"/>
      <c r="M6" s="40"/>
    </row>
    <row r="7" spans="2:13" ht="9.4499999999999993" customHeight="1" x14ac:dyDescent="0.3">
      <c r="B7" s="38"/>
      <c r="C7" s="83"/>
      <c r="D7" s="2"/>
      <c r="E7" s="2"/>
      <c r="F7" s="2"/>
      <c r="G7" s="2"/>
      <c r="H7" s="2"/>
      <c r="I7" s="2"/>
      <c r="J7" s="24"/>
      <c r="K7" s="2"/>
      <c r="L7" s="2"/>
      <c r="M7" s="40"/>
    </row>
    <row r="8" spans="2:13" ht="17.25" customHeight="1" x14ac:dyDescent="0.3">
      <c r="B8" s="38"/>
      <c r="C8" s="192" t="s">
        <v>7</v>
      </c>
      <c r="D8" s="193"/>
      <c r="E8" s="193"/>
      <c r="F8" s="190" t="str">
        <f>Notas!B4&amp;" "&amp;Notas!B3</f>
        <v>ANDRES FELIPE PUERTO FLOREZ</v>
      </c>
      <c r="G8" s="190"/>
      <c r="H8" s="190"/>
      <c r="I8" s="191"/>
      <c r="J8" s="177" t="s">
        <v>8</v>
      </c>
      <c r="K8" s="177"/>
      <c r="L8" s="54">
        <f ca="1">TODAY()</f>
        <v>46280</v>
      </c>
      <c r="M8" s="40"/>
    </row>
    <row r="9" spans="2:13" ht="17.25" customHeight="1" x14ac:dyDescent="0.3">
      <c r="B9" s="38"/>
      <c r="C9" s="200" t="s">
        <v>9</v>
      </c>
      <c r="D9" s="201"/>
      <c r="E9" s="201"/>
      <c r="F9" s="170" t="s">
        <v>79</v>
      </c>
      <c r="G9" s="170"/>
      <c r="H9" s="170"/>
      <c r="I9" s="171"/>
      <c r="J9" s="176" t="s">
        <v>10</v>
      </c>
      <c r="K9" s="176"/>
      <c r="L9" s="53" t="str">
        <f>LEFT(Notas!A9,4)&amp;" - "&amp;IF((MID(Notas!A9,8,1))&gt;2,2,1)</f>
        <v>2026 - 2</v>
      </c>
      <c r="M9" s="40"/>
    </row>
    <row r="10" spans="2:13" ht="9.4499999999999993" customHeight="1" x14ac:dyDescent="0.3">
      <c r="B10" s="38"/>
      <c r="C10" s="83"/>
      <c r="D10" s="18"/>
      <c r="E10" s="20"/>
      <c r="F10" s="20"/>
      <c r="G10" s="18"/>
      <c r="H10" s="25"/>
      <c r="I10" s="20"/>
      <c r="J10" s="19"/>
      <c r="K10" s="18"/>
      <c r="L10" s="18"/>
      <c r="M10" s="40"/>
    </row>
    <row r="11" spans="2:13" ht="18" customHeight="1" x14ac:dyDescent="0.3">
      <c r="B11" s="38"/>
      <c r="C11" s="208" t="s">
        <v>11</v>
      </c>
      <c r="D11" s="209"/>
      <c r="E11" s="172" t="s">
        <v>12</v>
      </c>
      <c r="F11" s="173"/>
      <c r="G11" s="55" t="s">
        <v>11</v>
      </c>
      <c r="H11" s="172" t="s">
        <v>13</v>
      </c>
      <c r="I11" s="173"/>
      <c r="J11" s="56" t="s">
        <v>14</v>
      </c>
      <c r="K11" s="57" t="s">
        <v>15</v>
      </c>
      <c r="L11" s="57" t="s">
        <v>16</v>
      </c>
      <c r="M11" s="40"/>
    </row>
    <row r="12" spans="2:13" ht="14.4" customHeight="1" x14ac:dyDescent="0.3">
      <c r="B12" s="38"/>
      <c r="C12" s="210" t="s">
        <v>106</v>
      </c>
      <c r="D12" s="58" t="s">
        <v>34</v>
      </c>
      <c r="E12" s="78" t="s">
        <v>118</v>
      </c>
      <c r="F12" s="59"/>
      <c r="G12" s="60" t="str">
        <f>IF($F$8=" ","",IFERROR(IF($L$9="","",IFERROR(VLOOKUP(IFERROR(VLOOKUP(D12,Notas!B:B,1,FALSE),VLOOKUP(D12,Equivalencia!A:F,5,FALSE)),Notas!B:B,1,FALSE),VLOOKUP(D12,Equivalencia!A:H,8,FALSE))),""))</f>
        <v>AM401</v>
      </c>
      <c r="H12" s="78" t="str">
        <f>IFERROR(IF($L$9="","",IFERROR(IFERROR(VLOOKUP(G12,Equivalencia!A:B,2,FALSE),VLOOKUP(G12,Equivalencia!E:F,2,FALSE)),VLOOKUP(G12,Equivalencia!H:I,2,FALSE))),"")</f>
        <v>PRINCIPIOS DE CONTABILIDAD</v>
      </c>
      <c r="I12" s="87"/>
      <c r="J12" s="61">
        <v>2</v>
      </c>
      <c r="K12" s="62">
        <f>IF($F$8=" ","",VLOOKUP(G12,Notas!B:K,8,FALSE)/1000)</f>
        <v>8.1</v>
      </c>
      <c r="L12" s="63" t="str">
        <f>IFERROR(IF(VLOOKUP(G12,Notas!B:K,9,FALSE)=".000","",VLOOKUP(G12,Notas!B:K,9,FALSE)/1000),"")</f>
        <v/>
      </c>
      <c r="M12" s="40"/>
    </row>
    <row r="13" spans="2:13" ht="14.4" customHeight="1" x14ac:dyDescent="0.3">
      <c r="B13" s="38"/>
      <c r="C13" s="211"/>
      <c r="D13" s="93" t="s">
        <v>33</v>
      </c>
      <c r="E13" s="94" t="s">
        <v>119</v>
      </c>
      <c r="F13" s="95"/>
      <c r="G13" s="96" t="str">
        <f>IF($F$8=" ","",IFERROR(IF($L$9="","",IFERROR(VLOOKUP(IFERROR(VLOOKUP(D13,Notas!B:B,1,FALSE),VLOOKUP(D13,Equivalencia!A:F,5,FALSE)),Notas!B:B,1,FALSE),VLOOKUP(D13,Equivalencia!A:H,8,FALSE))),""))</f>
        <v/>
      </c>
      <c r="H13" s="94" t="str">
        <f>IFERROR(IF($L$9="","",IFERROR(IFERROR(VLOOKUP(G13,Equivalencia!A:B,2,FALSE),VLOOKUP(G13,Equivalencia!E:F,2,FALSE)),VLOOKUP(G13,Equivalencia!H:I,2,FALSE))),"")</f>
        <v/>
      </c>
      <c r="I13" s="97"/>
      <c r="J13" s="98">
        <v>2</v>
      </c>
      <c r="K13" s="99" t="e">
        <f>IF($F$8=" ","",VLOOKUP(G13,Notas!B:K,8,FALSE)/1000)</f>
        <v>#N/A</v>
      </c>
      <c r="L13" s="100" t="str">
        <f>IFERROR(IF(VLOOKUP(G13,Notas!B:K,9,FALSE)=".000","",VLOOKUP(G13,Notas!B:K,9,FALSE)/1000),"")</f>
        <v/>
      </c>
      <c r="M13" s="40"/>
    </row>
    <row r="14" spans="2:13" ht="14.4" customHeight="1" x14ac:dyDescent="0.3">
      <c r="B14" s="38"/>
      <c r="C14" s="212" t="s">
        <v>107</v>
      </c>
      <c r="D14" s="101" t="s">
        <v>18</v>
      </c>
      <c r="E14" s="102" t="s">
        <v>121</v>
      </c>
      <c r="F14" s="103"/>
      <c r="G14" s="104" t="str">
        <f>IF($F$8=" ","",IFERROR(IF($L$9="","",IFERROR(VLOOKUP(IFERROR(VLOOKUP(D14,Notas!B:B,1,FALSE),VLOOKUP(D14,Equivalencia!A:F,5,FALSE)),Notas!B:B,1,FALSE),VLOOKUP(D14,Equivalencia!A:H,8,FALSE))),""))</f>
        <v>CB101</v>
      </c>
      <c r="H14" s="102" t="str">
        <f>IFERROR(IF($L$9="","",IFERROR(IFERROR(VLOOKUP(G14,Equivalencia!A:B,2,FALSE),VLOOKUP(G14,Equivalencia!E:F,2,FALSE)),VLOOKUP(G14,Equivalencia!H:I,2,FALSE))),"")</f>
        <v>MATEMÁTICAS I</v>
      </c>
      <c r="I14" s="105"/>
      <c r="J14" s="106">
        <v>4</v>
      </c>
      <c r="K14" s="107">
        <f>IF($F$8=" ","",VLOOKUP(G14,Notas!B:K,8,FALSE)/1000)</f>
        <v>10</v>
      </c>
      <c r="L14" s="108" t="str">
        <f>IFERROR(IF(VLOOKUP(G14,Notas!B:K,9,FALSE)=".000","",VLOOKUP(G14,Notas!B:K,9,FALSE)/1000),"")</f>
        <v/>
      </c>
      <c r="M14" s="40"/>
    </row>
    <row r="15" spans="2:13" ht="14.4" customHeight="1" x14ac:dyDescent="0.3">
      <c r="B15" s="38"/>
      <c r="C15" s="213"/>
      <c r="D15" s="64" t="s">
        <v>19</v>
      </c>
      <c r="E15" s="79" t="s">
        <v>122</v>
      </c>
      <c r="F15" s="65"/>
      <c r="G15" s="66" t="str">
        <f>IF($F$8=" ","",IFERROR(IF($L$9="","",IFERROR(VLOOKUP(IFERROR(VLOOKUP(D15,Notas!B:B,1,FALSE),VLOOKUP(D15,Equivalencia!A:F,5,FALSE)),Notas!B:B,1,FALSE),VLOOKUP(D15,Equivalencia!A:H,8,FALSE))),""))</f>
        <v>CB102</v>
      </c>
      <c r="H15" s="89" t="str">
        <f>IFERROR(IF($L$9="","",IFERROR(IFERROR(VLOOKUP(G15,Equivalencia!A:B,2,FALSE),VLOOKUP(G15,Equivalencia!E:F,2,FALSE)),VLOOKUP(G15,Equivalencia!H:I,2,FALSE))),"")</f>
        <v>MATEMÁTICAS II</v>
      </c>
      <c r="I15" s="90"/>
      <c r="J15" s="67">
        <v>4</v>
      </c>
      <c r="K15" s="68">
        <f>IF($F$8=" ","",VLOOKUP(G15,Notas!B:K,8,FALSE)/1000)</f>
        <v>10</v>
      </c>
      <c r="L15" s="69" t="str">
        <f>IFERROR(IF(VLOOKUP(G15,Notas!B:K,9,FALSE)=".000","",VLOOKUP(G15,Notas!B:K,9,FALSE)/1000),"")</f>
        <v/>
      </c>
      <c r="M15" s="40"/>
    </row>
    <row r="16" spans="2:13" ht="14.4" customHeight="1" x14ac:dyDescent="0.3">
      <c r="B16" s="38"/>
      <c r="C16" s="213"/>
      <c r="D16" s="64" t="s">
        <v>20</v>
      </c>
      <c r="E16" s="79" t="s">
        <v>123</v>
      </c>
      <c r="F16" s="65"/>
      <c r="G16" s="66">
        <f>IF($F$8=" ","",IFERROR(IF($L$9="","",IFERROR(VLOOKUP(IFERROR(VLOOKUP(D16,Notas!B:B,1,FALSE),VLOOKUP(D16,Equivalencia!A:F,5,FALSE)),Notas!B:B,1,FALSE),VLOOKUP(D16,Equivalencia!A:H,8,FALSE))),""))</f>
        <v>0</v>
      </c>
      <c r="H16" s="79" t="str">
        <f>IFERROR(IF($L$9="","",IFERROR(IFERROR(VLOOKUP(G16,Equivalencia!A:B,2,FALSE),VLOOKUP(G16,Equivalencia!E:F,2,FALSE)),VLOOKUP(G16,Equivalencia!H:I,2,FALSE))),"")</f>
        <v/>
      </c>
      <c r="I16" s="88"/>
      <c r="J16" s="67">
        <v>4</v>
      </c>
      <c r="K16" s="68" t="e">
        <f>IF($F$8=" ","",VLOOKUP(G16,Notas!B:K,8,FALSE)/1000)</f>
        <v>#N/A</v>
      </c>
      <c r="L16" s="69" t="str">
        <f>IFERROR(IF(VLOOKUP(G16,Notas!B:K,9,FALSE)=".000","",VLOOKUP(G16,Notas!B:K,9,FALSE)/1000),"")</f>
        <v/>
      </c>
      <c r="M16" s="40"/>
    </row>
    <row r="17" spans="2:13" ht="14.4" customHeight="1" x14ac:dyDescent="0.3">
      <c r="B17" s="38"/>
      <c r="C17" s="213"/>
      <c r="D17" s="64" t="s">
        <v>21</v>
      </c>
      <c r="E17" s="79" t="s">
        <v>124</v>
      </c>
      <c r="F17" s="65"/>
      <c r="G17" s="66">
        <f>IF($F$8=" ","",IFERROR(IF($L$9="","",IFERROR(VLOOKUP(IFERROR(VLOOKUP(D17,Notas!B:B,1,FALSE),VLOOKUP(D17,Equivalencia!A:F,5,FALSE)),Notas!B:B,1,FALSE),VLOOKUP(D17,Equivalencia!A:H,8,FALSE))),""))</f>
        <v>0</v>
      </c>
      <c r="H17" s="79" t="str">
        <f>IFERROR(IF($L$9="","",IFERROR(IFERROR(VLOOKUP(G17,Equivalencia!A:B,2,FALSE),VLOOKUP(G17,Equivalencia!E:F,2,FALSE)),VLOOKUP(G17,Equivalencia!H:I,2,FALSE))),"")</f>
        <v/>
      </c>
      <c r="I17" s="88"/>
      <c r="J17" s="67">
        <v>4</v>
      </c>
      <c r="K17" s="68" t="e">
        <f>IF($F$8=" ","",VLOOKUP(G17,Notas!B:K,8,FALSE)/1000)</f>
        <v>#N/A</v>
      </c>
      <c r="L17" s="69" t="str">
        <f>IFERROR(IF(VLOOKUP(G17,Notas!B:K,9,FALSE)=".000","",VLOOKUP(G17,Notas!B:K,9,FALSE)/1000),"")</f>
        <v/>
      </c>
      <c r="M17" s="40"/>
    </row>
    <row r="18" spans="2:13" ht="14.4" customHeight="1" x14ac:dyDescent="0.3">
      <c r="B18" s="38"/>
      <c r="C18" s="213"/>
      <c r="D18" s="64" t="s">
        <v>80</v>
      </c>
      <c r="E18" s="79" t="s">
        <v>126</v>
      </c>
      <c r="F18" s="65"/>
      <c r="G18" s="66">
        <f>IF($F$8=" ","",IFERROR(IF($L$9="","",IFERROR(VLOOKUP(IFERROR(VLOOKUP(D18,Notas!B:B,1,FALSE),VLOOKUP(D18,Equivalencia!A:F,5,FALSE)),Notas!B:B,1,FALSE),VLOOKUP(D18,Equivalencia!A:H,8,FALSE))),""))</f>
        <v>0</v>
      </c>
      <c r="H18" s="79" t="str">
        <f>IFERROR(IF($L$9="","",IFERROR(IFERROR(VLOOKUP(G18,Equivalencia!A:B,2,FALSE),VLOOKUP(G18,Equivalencia!E:F,2,FALSE)),VLOOKUP(G18,Equivalencia!H:I,2,FALSE))),"")</f>
        <v/>
      </c>
      <c r="I18" s="88"/>
      <c r="J18" s="67">
        <v>3</v>
      </c>
      <c r="K18" s="68" t="e">
        <f>IF($F$8=" ","",VLOOKUP(G18,Notas!B:K,8,FALSE)/1000)</f>
        <v>#N/A</v>
      </c>
      <c r="L18" s="69" t="str">
        <f>IFERROR(IF(VLOOKUP(G18,Notas!B:K,9,FALSE)=".000","",VLOOKUP(G18,Notas!B:K,9,FALSE)/1000),"")</f>
        <v/>
      </c>
      <c r="M18" s="40"/>
    </row>
    <row r="19" spans="2:13" ht="14.4" customHeight="1" x14ac:dyDescent="0.3">
      <c r="B19" s="38"/>
      <c r="C19" s="213"/>
      <c r="D19" s="70" t="s">
        <v>23</v>
      </c>
      <c r="E19" s="80" t="s">
        <v>127</v>
      </c>
      <c r="F19" s="71"/>
      <c r="G19" s="66" t="str">
        <f>IF($F$8=" ","",IFERROR(IF($L$9="","",IFERROR(VLOOKUP(IFERROR(VLOOKUP(D19,Notas!B:B,1,FALSE),VLOOKUP(D19,Equivalencia!A:F,5,FALSE)),Notas!B:B,1,FALSE),VLOOKUP(D19,Equivalencia!A:H,8,FALSE))),""))</f>
        <v>CB201</v>
      </c>
      <c r="H19" s="79" t="str">
        <f>IFERROR(IF($L$9="","",IFERROR(IFERROR(VLOOKUP(G19,Equivalencia!A:B,2,FALSE),VLOOKUP(G19,Equivalencia!E:F,2,FALSE)),VLOOKUP(G19,Equivalencia!H:I,2,FALSE))),"")</f>
        <v>FÍSICA MECÁNICA</v>
      </c>
      <c r="I19" s="88"/>
      <c r="J19" s="67">
        <v>4</v>
      </c>
      <c r="K19" s="72">
        <f>IF($F$8=" ","",VLOOKUP(G19,Notas!B:K,8,FALSE)/1000)</f>
        <v>7.9</v>
      </c>
      <c r="L19" s="73" t="str">
        <f>IFERROR(IF(VLOOKUP(G19,Notas!B:K,9,FALSE)=".000","",VLOOKUP(G19,Notas!B:K,9,FALSE)/1000),"")</f>
        <v/>
      </c>
      <c r="M19" s="40"/>
    </row>
    <row r="20" spans="2:13" ht="14.4" customHeight="1" x14ac:dyDescent="0.3">
      <c r="B20" s="38"/>
      <c r="C20" s="213"/>
      <c r="D20" s="70" t="s">
        <v>24</v>
      </c>
      <c r="E20" s="80" t="s">
        <v>128</v>
      </c>
      <c r="F20" s="71"/>
      <c r="G20" s="66">
        <f>IF($F$8=" ","",IFERROR(IF($L$9="","",IFERROR(VLOOKUP(IFERROR(VLOOKUP(D20,Notas!B:B,1,FALSE),VLOOKUP(D20,Equivalencia!A:F,5,FALSE)),Notas!B:B,1,FALSE),VLOOKUP(D20,Equivalencia!A:H,8,FALSE))),""))</f>
        <v>0</v>
      </c>
      <c r="H20" s="79" t="str">
        <f>IFERROR(IF($L$9="","",IFERROR(IFERROR(VLOOKUP(G20,Equivalencia!A:B,2,FALSE),VLOOKUP(G20,Equivalencia!E:F,2,FALSE)),VLOOKUP(G20,Equivalencia!H:I,2,FALSE))),"")</f>
        <v/>
      </c>
      <c r="I20" s="88"/>
      <c r="J20" s="67">
        <v>4</v>
      </c>
      <c r="K20" s="72" t="e">
        <f>IF($F$8=" ","",VLOOKUP(G20,Notas!B:K,8,FALSE)/1000)</f>
        <v>#N/A</v>
      </c>
      <c r="L20" s="73" t="str">
        <f>IFERROR(IF(VLOOKUP(G20,Notas!B:K,9,FALSE)=".000","",VLOOKUP(G20,Notas!B:K,9,FALSE)/1000),"")</f>
        <v/>
      </c>
      <c r="M20" s="40"/>
    </row>
    <row r="21" spans="2:13" ht="14.4" customHeight="1" x14ac:dyDescent="0.3">
      <c r="B21" s="38"/>
      <c r="C21" s="213"/>
      <c r="D21" s="70" t="s">
        <v>81</v>
      </c>
      <c r="E21" s="80" t="s">
        <v>129</v>
      </c>
      <c r="F21" s="71"/>
      <c r="G21" s="66">
        <f>IF($F$8=" ","",IFERROR(IF($L$9="","",IFERROR(VLOOKUP(IFERROR(VLOOKUP(D21,Notas!B:B,1,FALSE),VLOOKUP(D21,Equivalencia!A:F,5,FALSE)),Notas!B:B,1,FALSE),VLOOKUP(D21,Equivalencia!A:H,8,FALSE))),""))</f>
        <v>0</v>
      </c>
      <c r="H21" s="79" t="str">
        <f>IFERROR(IF($L$9="","",IFERROR(IFERROR(VLOOKUP(G21,Equivalencia!A:B,2,FALSE),VLOOKUP(G21,Equivalencia!E:F,2,FALSE)),VLOOKUP(G21,Equivalencia!H:I,2,FALSE))),"")</f>
        <v/>
      </c>
      <c r="I21" s="88"/>
      <c r="J21" s="67">
        <v>4</v>
      </c>
      <c r="K21" s="72" t="e">
        <f>IF($F$8=" ","",VLOOKUP(G21,Notas!B:K,8,FALSE)/1000)</f>
        <v>#N/A</v>
      </c>
      <c r="L21" s="73" t="str">
        <f>IFERROR(IF(VLOOKUP(G21,Notas!B:K,9,FALSE)=".000","",VLOOKUP(G21,Notas!B:K,9,FALSE)/1000),"")</f>
        <v/>
      </c>
      <c r="M21" s="40"/>
    </row>
    <row r="22" spans="2:13" ht="14.4" customHeight="1" x14ac:dyDescent="0.3">
      <c r="B22" s="38"/>
      <c r="C22" s="213"/>
      <c r="D22" s="70" t="s">
        <v>27</v>
      </c>
      <c r="E22" s="80" t="s">
        <v>130</v>
      </c>
      <c r="F22" s="71"/>
      <c r="G22" s="66" t="str">
        <f>IF($F$8=" ","",IFERROR(IF($L$9="","",IFERROR(VLOOKUP(IFERROR(VLOOKUP(D22,Notas!B:B,1,FALSE),VLOOKUP(D22,Equivalencia!A:F,5,FALSE)),Notas!B:B,1,FALSE),VLOOKUP(D22,Equivalencia!A:H,8,FALSE))),""))</f>
        <v>CB404</v>
      </c>
      <c r="H22" s="79" t="str">
        <f>IFERROR(IF($L$9="","",IFERROR(IFERROR(VLOOKUP(G22,Equivalencia!A:B,2,FALSE),VLOOKUP(G22,Equivalencia!E:F,2,FALSE)),VLOOKUP(G22,Equivalencia!H:I,2,FALSE))),"")</f>
        <v>INFORMÁTICA</v>
      </c>
      <c r="I22" s="88"/>
      <c r="J22" s="67">
        <v>2</v>
      </c>
      <c r="K22" s="72">
        <f>IF($F$8=" ","",VLOOKUP(G22,Notas!B:K,8,FALSE)/1000)</f>
        <v>9.34</v>
      </c>
      <c r="L22" s="73" t="str">
        <f>IFERROR(IF(VLOOKUP(G22,Notas!B:K,9,FALSE)=".000","",VLOOKUP(G22,Notas!B:K,9,FALSE)/1000),"")</f>
        <v/>
      </c>
      <c r="M22" s="40"/>
    </row>
    <row r="23" spans="2:13" ht="14.4" customHeight="1" x14ac:dyDescent="0.3">
      <c r="B23" s="38"/>
      <c r="C23" s="213"/>
      <c r="D23" s="70" t="s">
        <v>22</v>
      </c>
      <c r="E23" s="80" t="s">
        <v>131</v>
      </c>
      <c r="F23" s="71"/>
      <c r="G23" s="66" t="str">
        <f>IF($F$8=" ","",IFERROR(IF($L$9="","",IFERROR(VLOOKUP(IFERROR(VLOOKUP(D23,Notas!B:B,1,FALSE),VLOOKUP(D23,Equivalencia!A:F,5,FALSE)),Notas!B:B,1,FALSE),VLOOKUP(D23,Equivalencia!A:H,8,FALSE))),""))</f>
        <v>CB109</v>
      </c>
      <c r="H23" s="79" t="str">
        <f>IFERROR(IF($L$9="","",IFERROR(IFERROR(VLOOKUP(G23,Equivalencia!A:B,2,FALSE),VLOOKUP(G23,Equivalencia!E:F,2,FALSE)),VLOOKUP(G23,Equivalencia!H:I,2,FALSE))),"")</f>
        <v>ÁLGEBRA LINEAL</v>
      </c>
      <c r="I23" s="88"/>
      <c r="J23" s="67">
        <v>2</v>
      </c>
      <c r="K23" s="72">
        <f>IF($F$8=" ","",VLOOKUP(G23,Notas!B:K,8,FALSE)/1000)</f>
        <v>9.92</v>
      </c>
      <c r="L23" s="73" t="str">
        <f>IFERROR(IF(VLOOKUP(G23,Notas!B:K,9,FALSE)=".000","",VLOOKUP(G23,Notas!B:K,9,FALSE)/1000),"")</f>
        <v/>
      </c>
      <c r="M23" s="40"/>
    </row>
    <row r="24" spans="2:13" ht="14.4" customHeight="1" x14ac:dyDescent="0.3">
      <c r="B24" s="38"/>
      <c r="C24" s="213"/>
      <c r="D24" s="70" t="s">
        <v>25</v>
      </c>
      <c r="E24" s="80" t="s">
        <v>132</v>
      </c>
      <c r="F24" s="71"/>
      <c r="G24" s="66" t="str">
        <f>IF($F$8=" ","",IFERROR(IF($L$9="","",IFERROR(VLOOKUP(IFERROR(VLOOKUP(D24,Notas!B:B,1,FALSE),VLOOKUP(D24,Equivalencia!A:F,5,FALSE)),Notas!B:B,1,FALSE),VLOOKUP(D24,Equivalencia!A:H,8,FALSE))),""))</f>
        <v>CB401</v>
      </c>
      <c r="H24" s="79" t="str">
        <f>IFERROR(IF($L$9="","",IFERROR(IFERROR(VLOOKUP(G24,Equivalencia!A:B,2,FALSE),VLOOKUP(G24,Equivalencia!E:F,2,FALSE)),VLOOKUP(G24,Equivalencia!H:I,2,FALSE))),"")</f>
        <v>ESTADÍSTICA DESCRIPTIVA Y PROBABILIDAD</v>
      </c>
      <c r="I24" s="88"/>
      <c r="J24" s="67">
        <v>3</v>
      </c>
      <c r="K24" s="72">
        <f>IF($F$8=" ","",VLOOKUP(G24,Notas!B:K,8,FALSE)/1000)</f>
        <v>10</v>
      </c>
      <c r="L24" s="73" t="str">
        <f>IFERROR(IF(VLOOKUP(G24,Notas!B:K,9,FALSE)=".000","",VLOOKUP(G24,Notas!B:K,9,FALSE)/1000),"")</f>
        <v/>
      </c>
      <c r="M24" s="40"/>
    </row>
    <row r="25" spans="2:13" ht="14.4" customHeight="1" x14ac:dyDescent="0.3">
      <c r="B25" s="38"/>
      <c r="C25" s="213"/>
      <c r="D25" s="70" t="s">
        <v>133</v>
      </c>
      <c r="E25" s="80" t="s">
        <v>134</v>
      </c>
      <c r="F25" s="71"/>
      <c r="G25" s="66" t="str">
        <f>IF($F$8=" ","",IFERROR(IF($L$9="","",IFERROR(VLOOKUP(IFERROR(VLOOKUP(D25,Notas!B:B,1,FALSE),VLOOKUP(D25,Equivalencia!A:F,5,FALSE)),Notas!B:B,1,FALSE),VLOOKUP(D25,Equivalencia!A:H,8,FALSE))),""))</f>
        <v/>
      </c>
      <c r="H25" s="79" t="str">
        <f>IFERROR(IF($L$9="","",IFERROR(IFERROR(VLOOKUP(G25,Equivalencia!A:B,2,FALSE),VLOOKUP(G25,Equivalencia!E:F,2,FALSE)),VLOOKUP(G25,Equivalencia!H:I,2,FALSE))),"")</f>
        <v/>
      </c>
      <c r="I25" s="88"/>
      <c r="J25" s="67">
        <v>3</v>
      </c>
      <c r="K25" s="72" t="e">
        <f>IF($F$8=" ","",VLOOKUP(G25,Notas!B:K,8,FALSE)/1000)</f>
        <v>#N/A</v>
      </c>
      <c r="L25" s="73" t="str">
        <f>IFERROR(IF(VLOOKUP(G25,Notas!B:K,9,FALSE)=".000","",VLOOKUP(G25,Notas!B:K,9,FALSE)/1000),"")</f>
        <v/>
      </c>
      <c r="M25" s="40"/>
    </row>
    <row r="26" spans="2:13" ht="14.4" customHeight="1" x14ac:dyDescent="0.3">
      <c r="B26" s="38"/>
      <c r="C26" s="212" t="s">
        <v>108</v>
      </c>
      <c r="D26" s="109" t="s">
        <v>51</v>
      </c>
      <c r="E26" s="110" t="s">
        <v>135</v>
      </c>
      <c r="F26" s="111"/>
      <c r="G26" s="104" t="str">
        <f>IF($F$8=" ","",IFERROR(IF($L$9="","",IFERROR(VLOOKUP(IFERROR(VLOOKUP(D26,Notas!B:B,1,FALSE),VLOOKUP(D26,Equivalencia!A:F,5,FALSE)),Notas!B:B,1,FALSE),VLOOKUP(D26,Equivalencia!A:H,8,FALSE))),""))</f>
        <v>CN300</v>
      </c>
      <c r="H26" s="102" t="str">
        <f>IFERROR(IF($L$9="","",IFERROR(IFERROR(VLOOKUP(G26,Equivalencia!A:B,2,FALSE),VLOOKUP(G26,Equivalencia!E:F,2,FALSE)),VLOOKUP(G26,Equivalencia!H:I,2,FALSE))),"")</f>
        <v>MARINERÍA</v>
      </c>
      <c r="I26" s="105"/>
      <c r="J26" s="106">
        <v>1</v>
      </c>
      <c r="K26" s="112">
        <f>IF($F$8=" ","",VLOOKUP(G26,Notas!B:K,8,FALSE)/1000)</f>
        <v>9.5</v>
      </c>
      <c r="L26" s="113" t="str">
        <f>IFERROR(IF(VLOOKUP(G26,Notas!B:K,9,FALSE)=".000","",VLOOKUP(G26,Notas!B:K,9,FALSE)/1000),"")</f>
        <v/>
      </c>
      <c r="M26" s="40"/>
    </row>
    <row r="27" spans="2:13" ht="14.4" customHeight="1" x14ac:dyDescent="0.3">
      <c r="B27" s="38"/>
      <c r="C27" s="211"/>
      <c r="D27" s="93" t="s">
        <v>52</v>
      </c>
      <c r="E27" s="94" t="s">
        <v>136</v>
      </c>
      <c r="F27" s="95"/>
      <c r="G27" s="96">
        <f>IF($F$8=" ","",IFERROR(IF($L$9="","",IFERROR(VLOOKUP(IFERROR(VLOOKUP(D27,Notas!B:B,1,FALSE),VLOOKUP(D27,Equivalencia!A:F,5,FALSE)),Notas!B:B,1,FALSE),VLOOKUP(D27,Equivalencia!A:H,8,FALSE))),""))</f>
        <v>0</v>
      </c>
      <c r="H27" s="94" t="str">
        <f>IFERROR(IF($L$9="","",IFERROR(IFERROR(VLOOKUP(G27,Equivalencia!A:B,2,FALSE),VLOOKUP(G27,Equivalencia!E:F,2,FALSE)),VLOOKUP(G27,Equivalencia!H:I,2,FALSE))),"")</f>
        <v/>
      </c>
      <c r="I27" s="97"/>
      <c r="J27" s="98">
        <v>1</v>
      </c>
      <c r="K27" s="99" t="e">
        <f>IF($F$8=" ","",VLOOKUP(G27,Notas!B:K,8,FALSE)/1000)</f>
        <v>#N/A</v>
      </c>
      <c r="L27" s="100" t="str">
        <f>IFERROR(IF(VLOOKUP(G27,Notas!B:K,9,FALSE)=".000","",VLOOKUP(G27,Notas!B:K,9,FALSE)/1000),"")</f>
        <v/>
      </c>
      <c r="M27" s="40"/>
    </row>
    <row r="28" spans="2:13" ht="14.4" customHeight="1" x14ac:dyDescent="0.3">
      <c r="B28" s="38"/>
      <c r="C28" s="212" t="s">
        <v>78</v>
      </c>
      <c r="D28" s="101" t="s">
        <v>53</v>
      </c>
      <c r="E28" s="102" t="s">
        <v>137</v>
      </c>
      <c r="F28" s="103"/>
      <c r="G28" s="101" t="str">
        <f>IF($F$8=" ","",IFERROR(IF($L$9="","",IFERROR(VLOOKUP(IFERROR(VLOOKUP(D28,Notas!B:B,1,FALSE),VLOOKUP(D28,Equivalencia!A:F,5,FALSE)),Notas!B:B,1,FALSE),VLOOKUP(D28,Equivalencia!A:H,8,FALSE))),""))</f>
        <v>CS205</v>
      </c>
      <c r="H28" s="102" t="str">
        <f>IFERROR(IF($L$9="","",IFERROR(IFERROR(VLOOKUP(G28,Equivalencia!A:B,2,FALSE),VLOOKUP(G28,Equivalencia!E:F,2,FALSE)),VLOOKUP(G28,Equivalencia!H:I,2,FALSE))),"")</f>
        <v>HISTORIA NAVAL</v>
      </c>
      <c r="I28" s="105"/>
      <c r="J28" s="106">
        <v>2</v>
      </c>
      <c r="K28" s="107">
        <f>IF($F$8=" ","",VLOOKUP(G28,Notas!B:K,8,FALSE)/1000)</f>
        <v>9.8000000000000007</v>
      </c>
      <c r="L28" s="108" t="str">
        <f>IFERROR(IF(VLOOKUP(G28,Notas!B:K,9,FALSE)=".000","",VLOOKUP(G28,Notas!B:K,9,FALSE)/1000),"")</f>
        <v/>
      </c>
      <c r="M28" s="40"/>
    </row>
    <row r="29" spans="2:13" ht="14.4" customHeight="1" x14ac:dyDescent="0.3">
      <c r="B29" s="38"/>
      <c r="C29" s="213"/>
      <c r="D29" s="64" t="s">
        <v>69</v>
      </c>
      <c r="E29" s="79" t="s">
        <v>138</v>
      </c>
      <c r="F29" s="65"/>
      <c r="G29" s="64" t="str">
        <f>IF($F$8=" ","",IFERROR(IF($L$9="","",IFERROR(VLOOKUP(IFERROR(VLOOKUP(D29,Notas!B:B,1,FALSE),VLOOKUP(D29,Equivalencia!A:F,5,FALSE)),Notas!B:B,1,FALSE),VLOOKUP(D29,Equivalencia!A:H,8,FALSE))),""))</f>
        <v/>
      </c>
      <c r="H29" s="79" t="str">
        <f>IFERROR(IF($L$9="","",IFERROR(IFERROR(VLOOKUP(G29,Equivalencia!A:B,2,FALSE),VLOOKUP(G29,Equivalencia!E:F,2,FALSE)),VLOOKUP(G29,Equivalencia!H:I,2,FALSE))),"")</f>
        <v/>
      </c>
      <c r="I29" s="88"/>
      <c r="J29" s="67">
        <v>1</v>
      </c>
      <c r="K29" s="68" t="e">
        <f>IF($F$8=" ","",VLOOKUP(G29,Notas!B:K,8,FALSE)/1000)</f>
        <v>#N/A</v>
      </c>
      <c r="L29" s="69" t="str">
        <f>IFERROR(IF(VLOOKUP(G29,Notas!B:K,9,FALSE)=".000","",VLOOKUP(G29,Notas!B:K,9,FALSE)/1000),"")</f>
        <v/>
      </c>
      <c r="M29" s="40"/>
    </row>
    <row r="30" spans="2:13" ht="14.4" customHeight="1" x14ac:dyDescent="0.3">
      <c r="B30" s="38"/>
      <c r="C30" s="213"/>
      <c r="D30" s="64" t="s">
        <v>28</v>
      </c>
      <c r="E30" s="79" t="s">
        <v>139</v>
      </c>
      <c r="F30" s="65"/>
      <c r="G30" s="64" t="str">
        <f>IF($F$8=" ","",IFERROR(IF($L$9="","",IFERROR(VLOOKUP(IFERROR(VLOOKUP(D30,Notas!B:B,1,FALSE),VLOOKUP(D30,Equivalencia!A:F,5,FALSE)),Notas!B:B,1,FALSE),VLOOKUP(D30,Equivalencia!A:H,8,FALSE))),""))</f>
        <v>CS203</v>
      </c>
      <c r="H30" s="79" t="str">
        <f>IFERROR(IF($L$9="","",IFERROR(IFERROR(VLOOKUP(G30,Equivalencia!A:B,2,FALSE),VLOOKUP(G30,Equivalencia!E:F,2,FALSE)),VLOOKUP(G30,Equivalencia!H:I,2,FALSE))),"")</f>
        <v>ÉTICA PROFESIONAL</v>
      </c>
      <c r="I30" s="88"/>
      <c r="J30" s="67">
        <v>1</v>
      </c>
      <c r="K30" s="68">
        <f>IF($F$8=" ","",VLOOKUP(G30,Notas!B:K,8,FALSE)/1000)</f>
        <v>4</v>
      </c>
      <c r="L30" s="69" t="str">
        <f>IFERROR(IF(VLOOKUP(G30,Notas!B:K,9,FALSE)=".000","",VLOOKUP(G30,Notas!B:K,9,FALSE)/1000),"")</f>
        <v/>
      </c>
      <c r="M30" s="40"/>
    </row>
    <row r="31" spans="2:13" ht="14.4" customHeight="1" x14ac:dyDescent="0.3">
      <c r="B31" s="38"/>
      <c r="C31" s="213"/>
      <c r="D31" s="64" t="s">
        <v>64</v>
      </c>
      <c r="E31" s="79" t="s">
        <v>140</v>
      </c>
      <c r="F31" s="65"/>
      <c r="G31" s="66" t="str">
        <f>IF($F$8=" ","",IFERROR(IF($L$9="","",IFERROR(VLOOKUP(IFERROR(VLOOKUP(D31,Notas!B:B,1,FALSE),VLOOKUP(D31,Equivalencia!A:F,5,FALSE)),Notas!B:B,1,FALSE),VLOOKUP(D31,Equivalencia!A:H,8,FALSE))),""))</f>
        <v>CS319</v>
      </c>
      <c r="H31" s="79" t="str">
        <f>IFERROR(IF($L$9="","",IFERROR(IFERROR(VLOOKUP(G31,Equivalencia!A:B,2,FALSE),VLOOKUP(G31,Equivalencia!E:F,2,FALSE)),VLOOKUP(G31,Equivalencia!H:I,2,FALSE))),"")</f>
        <v>IDIOMAS VI</v>
      </c>
      <c r="I31" s="88"/>
      <c r="J31" s="67">
        <v>2</v>
      </c>
      <c r="K31" s="68" t="e">
        <f>IF($F$8=" ","",VLOOKUP(G31,Notas!B:K,8,FALSE)/1000)</f>
        <v>#VALUE!</v>
      </c>
      <c r="L31" s="69" t="str">
        <f>IFERROR(IF(VLOOKUP(G31,Notas!B:K,9,FALSE)=".000","",VLOOKUP(G31,Notas!B:K,9,FALSE)/1000),"")</f>
        <v/>
      </c>
      <c r="M31" s="40"/>
    </row>
    <row r="32" spans="2:13" ht="14.4" customHeight="1" x14ac:dyDescent="0.3">
      <c r="B32" s="38"/>
      <c r="C32" s="213"/>
      <c r="D32" s="64" t="s">
        <v>141</v>
      </c>
      <c r="E32" s="79" t="s">
        <v>142</v>
      </c>
      <c r="F32" s="65"/>
      <c r="G32" s="66" t="str">
        <f>IF($F$8=" ","",IFERROR(IF($L$9="","",IFERROR(VLOOKUP(IFERROR(VLOOKUP(D32,Notas!B:B,1,FALSE),VLOOKUP(D32,Equivalencia!A:F,5,FALSE)),Notas!B:B,1,FALSE),VLOOKUP(D32,Equivalencia!A:H,8,FALSE))),""))</f>
        <v>CS200</v>
      </c>
      <c r="H32" s="79" t="str">
        <f>IFERROR(IF($L$9="","",IFERROR(IFERROR(VLOOKUP(G32,Equivalencia!A:B,2,FALSE),VLOOKUP(G32,Equivalencia!E:F,2,FALSE)),VLOOKUP(G32,Equivalencia!H:I,2,FALSE))),"")</f>
        <v>TECNICA DE EXPRESION ORAL Y ESCRITA I</v>
      </c>
      <c r="I32" s="88"/>
      <c r="J32" s="67">
        <v>1</v>
      </c>
      <c r="K32" s="68">
        <f>IF($F$8=" ","",VLOOKUP(G32,Notas!B:K,8,FALSE)/1000)</f>
        <v>10</v>
      </c>
      <c r="L32" s="69" t="str">
        <f>IFERROR(IF(VLOOKUP(G32,Notas!B:K,9,FALSE)=".000","",VLOOKUP(G32,Notas!B:K,9,FALSE)/1000),"")</f>
        <v/>
      </c>
      <c r="M32" s="40"/>
    </row>
    <row r="33" spans="2:13" ht="14.4" customHeight="1" x14ac:dyDescent="0.3">
      <c r="B33" s="38"/>
      <c r="C33" s="211"/>
      <c r="D33" s="93" t="s">
        <v>143</v>
      </c>
      <c r="E33" s="114" t="s">
        <v>144</v>
      </c>
      <c r="F33" s="115"/>
      <c r="G33" s="96" t="str" cm="1">
        <f t="array" ref="G33">IFERROR(
   INDEX(Notas!B:B,
      MATCH(
         MAX(_xlfn._xlws.FILTER(Notas!K:K,
            (ISNUMBER(SEARCH("Ingles", Notas!C:C)) + ISNUMBER(SEARCH("Idiomas", Notas!C:C))) &gt; 0
         )),
         Notas!K:K,
         0
      )
   ),
   ""
)</f>
        <v>CS314</v>
      </c>
      <c r="H33" s="114" t="str">
        <f>IFERROR(IF($L$9="","",IFERROR(IFERROR(VLOOKUP(G33,Equivalencia!A:B,2,FALSE),VLOOKUP(G33,Equivalencia!E:F,2,FALSE)),VLOOKUP(G33,Equivalencia!H:I,2,FALSE))),"")</f>
        <v>IDIOMAS I</v>
      </c>
      <c r="I33" s="116"/>
      <c r="J33" s="98">
        <v>1</v>
      </c>
      <c r="K33" s="99" cm="1">
        <f t="array" ref="K33">IF($F$8=" ","",MAX(_xlfn._xlws.FILTER(Notas!K:K,(ISNUMBER(SEARCH("Ingles",Notas!C:C))+ISNUMBER(SEARCH("Idiomas",Notas!C:C)))&gt;0))/1000)</f>
        <v>9.1999999999999993</v>
      </c>
      <c r="L33" s="100" t="str">
        <f>IFERROR(IF(VLOOKUP(G33,Notas!B:K,9,FALSE)=".000","",VLOOKUP(G33,Notas!B:K,9,FALSE)/1000),"")</f>
        <v/>
      </c>
      <c r="M33" s="40"/>
    </row>
    <row r="34" spans="2:13" ht="14.4" customHeight="1" x14ac:dyDescent="0.3">
      <c r="B34" s="38"/>
      <c r="C34" s="117" t="s">
        <v>109</v>
      </c>
      <c r="D34" s="118" t="s">
        <v>76</v>
      </c>
      <c r="E34" s="119" t="s">
        <v>145</v>
      </c>
      <c r="F34" s="120"/>
      <c r="G34" s="118" t="str">
        <f>IF($F$8=" ","",IFERROR(IF($L$9="","",IFERROR(VLOOKUP(IFERROR(VLOOKUP(D34,Notas!B:B,1,FALSE),VLOOKUP(D34,Equivalencia!A:F,5,FALSE)),Notas!B:B,1,FALSE),VLOOKUP(D34,Equivalencia!A:H,8,FALSE))),""))</f>
        <v>OF201</v>
      </c>
      <c r="H34" s="119" t="str">
        <f>IFERROR(IF($L$9="","",IFERROR(IFERROR(VLOOKUP(G34,Equivalencia!A:B,2,FALSE),VLOOKUP(G34,Equivalencia!E:F,2,FALSE)),VLOOKUP(G34,Equivalencia!H:I,2,FALSE))),"")</f>
        <v>OCEANOGRAFÍA GENERAL</v>
      </c>
      <c r="I34" s="121"/>
      <c r="J34" s="122">
        <v>2</v>
      </c>
      <c r="K34" s="123" t="e">
        <f>IF($F$8=" ","",VLOOKUP(G34,Notas!B:K,8,FALSE)/1000)</f>
        <v>#N/A</v>
      </c>
      <c r="L34" s="124" t="str">
        <f>IFERROR(IF(VLOOKUP(G34,Notas!B:K,9,FALSE)=".000","",VLOOKUP(G34,Notas!B:K,9,FALSE)/1000),"")</f>
        <v/>
      </c>
      <c r="M34" s="40"/>
    </row>
    <row r="35" spans="2:13" ht="14.4" customHeight="1" x14ac:dyDescent="0.3">
      <c r="B35" s="38"/>
      <c r="C35" s="212" t="s">
        <v>110</v>
      </c>
      <c r="D35" s="101" t="s">
        <v>83</v>
      </c>
      <c r="E35" s="102" t="s">
        <v>146</v>
      </c>
      <c r="F35" s="103"/>
      <c r="G35" s="101">
        <f>IF($F$8=" ","",IFERROR(IF($L$9="","",IFERROR(VLOOKUP(IFERROR(VLOOKUP(D35,Notas!B:B,1,FALSE),VLOOKUP(D35,Equivalencia!A:F,5,FALSE)),Notas!B:B,1,FALSE),VLOOKUP(D35,Equivalencia!A:H,8,FALSE))),""))</f>
        <v>0</v>
      </c>
      <c r="H35" s="102" t="str">
        <f>IFERROR(IF($L$9="","",IFERROR(IFERROR(VLOOKUP(G35,Equivalencia!A:B,2,FALSE),VLOOKUP(G35,Equivalencia!E:F,2,FALSE)),VLOOKUP(G35,Equivalencia!H:I,2,FALSE))),"")</f>
        <v/>
      </c>
      <c r="I35" s="105"/>
      <c r="J35" s="106">
        <v>3</v>
      </c>
      <c r="K35" s="107" t="e">
        <f>IF($F$8=" ","",VLOOKUP(G35,Notas!B:K,8,FALSE)/1000)</f>
        <v>#N/A</v>
      </c>
      <c r="L35" s="108" t="str">
        <f>IFERROR(IF(VLOOKUP(G35,Notas!B:K,9,FALSE)=".000","",VLOOKUP(G35,Notas!B:K,9,FALSE)/1000),"")</f>
        <v/>
      </c>
      <c r="M35" s="40"/>
    </row>
    <row r="36" spans="2:13" ht="14.4" customHeight="1" x14ac:dyDescent="0.3">
      <c r="B36" s="38"/>
      <c r="C36" s="213"/>
      <c r="D36" s="64" t="s">
        <v>84</v>
      </c>
      <c r="E36" s="79" t="s">
        <v>147</v>
      </c>
      <c r="F36" s="65"/>
      <c r="G36" s="64">
        <f>IF($F$8=" ","",IFERROR(IF($L$9="","",IFERROR(VLOOKUP(IFERROR(VLOOKUP(D36,Notas!B:B,1,FALSE),VLOOKUP(D36,Equivalencia!A:F,5,FALSE)),Notas!B:B,1,FALSE),VLOOKUP(D36,Equivalencia!A:H,8,FALSE))),""))</f>
        <v>0</v>
      </c>
      <c r="H36" s="79" t="str">
        <f>IFERROR(IF($L$9="","",IFERROR(IFERROR(VLOOKUP(G36,Equivalencia!A:B,2,FALSE),VLOOKUP(G36,Equivalencia!E:F,2,FALSE)),VLOOKUP(G36,Equivalencia!H:I,2,FALSE))),"")</f>
        <v/>
      </c>
      <c r="I36" s="88"/>
      <c r="J36" s="67">
        <v>4</v>
      </c>
      <c r="K36" s="68" t="e">
        <f>IF($F$8=" ","",VLOOKUP(G36,Notas!B:K,8,FALSE)/1000)</f>
        <v>#N/A</v>
      </c>
      <c r="L36" s="69" t="str">
        <f>IFERROR(IF(VLOOKUP(G36,Notas!B:K,9,FALSE)=".000","",VLOOKUP(G36,Notas!B:K,9,FALSE)/1000),"")</f>
        <v/>
      </c>
      <c r="M36" s="40"/>
    </row>
    <row r="37" spans="2:13" ht="14.4" customHeight="1" x14ac:dyDescent="0.3">
      <c r="B37" s="38"/>
      <c r="C37" s="213"/>
      <c r="D37" s="64" t="s">
        <v>148</v>
      </c>
      <c r="E37" s="79" t="s">
        <v>149</v>
      </c>
      <c r="F37" s="65"/>
      <c r="G37" s="64" t="str">
        <f>IF($F$8=" ","",IFERROR(IF($L$9="","",IFERROR(VLOOKUP(IFERROR(VLOOKUP(D37,Notas!B:B,1,FALSE),VLOOKUP(D37,Equivalencia!A:F,5,FALSE)),Notas!B:B,1,FALSE),VLOOKUP(D37,Equivalencia!A:H,8,FALSE))),""))</f>
        <v>IN005</v>
      </c>
      <c r="H37" s="79" t="str">
        <f>IFERROR(IF($L$9="","",IFERROR(IFERROR(VLOOKUP(G37,Equivalencia!A:B,2,FALSE),VLOOKUP(G37,Equivalencia!E:F,2,FALSE)),VLOOKUP(G37,Equivalencia!H:I,2,FALSE))),"")</f>
        <v>ENSAYO DE MATERIALES</v>
      </c>
      <c r="I37" s="88"/>
      <c r="J37" s="67">
        <v>4</v>
      </c>
      <c r="K37" s="68" t="e">
        <f>IF($F$8=" ","",VLOOKUP(G37,Notas!B:K,8,FALSE)/1000)</f>
        <v>#N/A</v>
      </c>
      <c r="L37" s="69" t="str">
        <f>IFERROR(IF(VLOOKUP(G37,Notas!B:K,9,FALSE)=".000","",VLOOKUP(G37,Notas!B:K,9,FALSE)/1000),"")</f>
        <v/>
      </c>
      <c r="M37" s="40"/>
    </row>
    <row r="38" spans="2:13" ht="14.4" customHeight="1" x14ac:dyDescent="0.3">
      <c r="B38" s="38"/>
      <c r="C38" s="213"/>
      <c r="D38" s="64" t="s">
        <v>75</v>
      </c>
      <c r="E38" s="79" t="s">
        <v>150</v>
      </c>
      <c r="F38" s="65"/>
      <c r="G38" s="64" t="str">
        <f>IF($F$8=" ","",IFERROR(IF($L$9="","",IFERROR(VLOOKUP(IFERROR(VLOOKUP(D38,Notas!B:B,1,FALSE),VLOOKUP(D38,Equivalencia!A:F,5,FALSE)),Notas!B:B,1,FALSE),VLOOKUP(D38,Equivalencia!A:H,8,FALSE))),""))</f>
        <v>IN201</v>
      </c>
      <c r="H38" s="79" t="str">
        <f>IFERROR(IF($L$9="","",IFERROR(IFERROR(VLOOKUP(G38,Equivalencia!A:B,2,FALSE),VLOOKUP(G38,Equivalencia!E:F,2,FALSE)),VLOOKUP(G38,Equivalencia!H:I,2,FALSE))),"")</f>
        <v>FUNDAMENTOS DE MOTORES</v>
      </c>
      <c r="I38" s="88"/>
      <c r="J38" s="67">
        <v>2</v>
      </c>
      <c r="K38" s="68" t="e">
        <f>IF($F$8=" ","",VLOOKUP(G38,Notas!B:K,8,FALSE)/1000)</f>
        <v>#VALUE!</v>
      </c>
      <c r="L38" s="69" t="str">
        <f>IFERROR(IF(VLOOKUP(G38,Notas!B:K,9,FALSE)=".000","",VLOOKUP(G38,Notas!B:K,9,FALSE)/1000),"")</f>
        <v/>
      </c>
      <c r="M38" s="40"/>
    </row>
    <row r="39" spans="2:13" ht="14.4" customHeight="1" x14ac:dyDescent="0.3">
      <c r="B39" s="38"/>
      <c r="C39" s="213"/>
      <c r="D39" s="64" t="s">
        <v>35</v>
      </c>
      <c r="E39" s="79" t="s">
        <v>151</v>
      </c>
      <c r="F39" s="65"/>
      <c r="G39" s="64" t="str">
        <f>IF($F$8=" ","",IFERROR(IF($L$9="","",IFERROR(VLOOKUP(IFERROR(VLOOKUP(D39,Notas!B:B,1,FALSE),VLOOKUP(D39,Equivalencia!A:F,5,FALSE)),Notas!B:B,1,FALSE),VLOOKUP(D39,Equivalencia!A:H,8,FALSE))),""))</f>
        <v>IN219</v>
      </c>
      <c r="H39" s="79" t="str">
        <f>IFERROR(IF($L$9="","",IFERROR(IFERROR(VLOOKUP(G39,Equivalencia!A:B,2,FALSE),VLOOKUP(G39,Equivalencia!E:F,2,FALSE)),VLOOKUP(G39,Equivalencia!H:I,2,FALSE))),"")</f>
        <v>FUNDAMENTOS DE ESTABILIDAD</v>
      </c>
      <c r="I39" s="88"/>
      <c r="J39" s="67">
        <v>2</v>
      </c>
      <c r="K39" s="68" t="e">
        <f>IF($F$8=" ","",VLOOKUP(G39,Notas!B:K,8,FALSE)/1000)</f>
        <v>#N/A</v>
      </c>
      <c r="L39" s="69" t="str">
        <f>IFERROR(IF(VLOOKUP(G39,Notas!B:K,9,FALSE)=".000","",VLOOKUP(G39,Notas!B:K,9,FALSE)/1000),"")</f>
        <v/>
      </c>
      <c r="M39" s="40"/>
    </row>
    <row r="40" spans="2:13" ht="14.4" customHeight="1" x14ac:dyDescent="0.3">
      <c r="B40" s="38"/>
      <c r="C40" s="213"/>
      <c r="D40" s="64" t="s">
        <v>49</v>
      </c>
      <c r="E40" s="79" t="s">
        <v>152</v>
      </c>
      <c r="F40" s="65"/>
      <c r="G40" s="64">
        <f>IF($F$8=" ","",IFERROR(IF($L$9="","",IFERROR(VLOOKUP(IFERROR(VLOOKUP(D40,Notas!B:B,1,FALSE),VLOOKUP(D40,Equivalencia!A:F,5,FALSE)),Notas!B:B,1,FALSE),VLOOKUP(D40,Equivalencia!A:H,8,FALSE))),""))</f>
        <v>0</v>
      </c>
      <c r="H40" s="79" t="str">
        <f>IFERROR(IF($L$9="","",IFERROR(IFERROR(VLOOKUP(G40,Equivalencia!A:B,2,FALSE),VLOOKUP(G40,Equivalencia!E:F,2,FALSE)),VLOOKUP(G40,Equivalencia!H:I,2,FALSE))),"")</f>
        <v/>
      </c>
      <c r="I40" s="88"/>
      <c r="J40" s="67">
        <v>2</v>
      </c>
      <c r="K40" s="68" t="e">
        <f>IF($F$8=" ","",VLOOKUP(G40,Notas!B:K,8,FALSE)/1000)</f>
        <v>#N/A</v>
      </c>
      <c r="L40" s="69" t="str">
        <f>IFERROR(IF(VLOOKUP(G40,Notas!B:K,9,FALSE)=".000","",VLOOKUP(G40,Notas!B:K,9,FALSE)/1000),"")</f>
        <v/>
      </c>
      <c r="M40" s="40"/>
    </row>
    <row r="41" spans="2:13" ht="14.4" customHeight="1" x14ac:dyDescent="0.3">
      <c r="B41" s="38"/>
      <c r="C41" s="213"/>
      <c r="D41" s="64" t="s">
        <v>86</v>
      </c>
      <c r="E41" s="79" t="s">
        <v>154</v>
      </c>
      <c r="F41" s="65"/>
      <c r="G41" s="64">
        <f>IF($F$8=" ","",IFERROR(IF($L$9="","",IFERROR(VLOOKUP(IFERROR(VLOOKUP(D41,Notas!B:B,1,FALSE),VLOOKUP(D41,Equivalencia!A:F,5,FALSE)),Notas!B:B,1,FALSE),VLOOKUP(D41,Equivalencia!A:H,8,FALSE))),""))</f>
        <v>0</v>
      </c>
      <c r="H41" s="79" t="str">
        <f>IFERROR(IF($L$9="","",IFERROR(IFERROR(VLOOKUP(G41,Equivalencia!A:B,2,FALSE),VLOOKUP(G41,Equivalencia!E:F,2,FALSE)),VLOOKUP(G41,Equivalencia!H:I,2,FALSE))),"")</f>
        <v/>
      </c>
      <c r="I41" s="88"/>
      <c r="J41" s="67">
        <v>2</v>
      </c>
      <c r="K41" s="68" t="e">
        <f>IF($F$8=" ","",VLOOKUP(G41,Notas!B:K,8,FALSE)/1000)</f>
        <v>#N/A</v>
      </c>
      <c r="L41" s="69" t="str">
        <f>IFERROR(IF(VLOOKUP(G41,Notas!B:K,9,FALSE)=".000","",VLOOKUP(G41,Notas!B:K,9,FALSE)/1000),"")</f>
        <v/>
      </c>
      <c r="M41" s="40"/>
    </row>
    <row r="42" spans="2:13" ht="14.4" customHeight="1" x14ac:dyDescent="0.3">
      <c r="B42" s="38"/>
      <c r="C42" s="213"/>
      <c r="D42" s="64" t="s">
        <v>71</v>
      </c>
      <c r="E42" s="79" t="s">
        <v>155</v>
      </c>
      <c r="F42" s="65"/>
      <c r="G42" s="64">
        <f>IF($F$8=" ","",IFERROR(IF($L$9="","",IFERROR(VLOOKUP(IFERROR(VLOOKUP(D42,Notas!B:B,1,FALSE),VLOOKUP(D42,Equivalencia!A:F,5,FALSE)),Notas!B:B,1,FALSE),VLOOKUP(D42,Equivalencia!A:H,8,FALSE))),""))</f>
        <v>0</v>
      </c>
      <c r="H42" s="79" t="str">
        <f>IFERROR(IF($L$9="","",IFERROR(IFERROR(VLOOKUP(G42,Equivalencia!A:B,2,FALSE),VLOOKUP(G42,Equivalencia!E:F,2,FALSE)),VLOOKUP(G42,Equivalencia!H:I,2,FALSE))),"")</f>
        <v/>
      </c>
      <c r="I42" s="88"/>
      <c r="J42" s="67">
        <v>2</v>
      </c>
      <c r="K42" s="68" t="e">
        <f>IF($F$8=" ","",VLOOKUP(G42,Notas!B:K,8,FALSE)/1000)</f>
        <v>#N/A</v>
      </c>
      <c r="L42" s="69" t="str">
        <f>IFERROR(IF(VLOOKUP(G42,Notas!B:K,9,FALSE)=".000","",VLOOKUP(G42,Notas!B:K,9,FALSE)/1000),"")</f>
        <v/>
      </c>
      <c r="M42" s="40"/>
    </row>
    <row r="43" spans="2:13" ht="14.4" customHeight="1" x14ac:dyDescent="0.3">
      <c r="B43" s="38"/>
      <c r="C43" s="213"/>
      <c r="D43" s="64" t="s">
        <v>87</v>
      </c>
      <c r="E43" s="79" t="s">
        <v>156</v>
      </c>
      <c r="F43" s="65"/>
      <c r="G43" s="64">
        <f>IF($F$8=" ","",IFERROR(IF($L$9="","",IFERROR(VLOOKUP(IFERROR(VLOOKUP(D43,Notas!B:B,1,FALSE),VLOOKUP(D43,Equivalencia!A:F,5,FALSE)),Notas!B:B,1,FALSE),VLOOKUP(D43,Equivalencia!A:H,8,FALSE))),""))</f>
        <v>0</v>
      </c>
      <c r="H43" s="79" t="str">
        <f>IFERROR(IF($L$9="","",IFERROR(IFERROR(VLOOKUP(G43,Equivalencia!A:B,2,FALSE),VLOOKUP(G43,Equivalencia!E:F,2,FALSE)),VLOOKUP(G43,Equivalencia!H:I,2,FALSE))),"")</f>
        <v/>
      </c>
      <c r="I43" s="88"/>
      <c r="J43" s="67">
        <v>3</v>
      </c>
      <c r="K43" s="68" t="e">
        <f>IF($F$8=" ","",VLOOKUP(G43,Notas!B:K,8,FALSE)/1000)</f>
        <v>#N/A</v>
      </c>
      <c r="L43" s="69" t="str">
        <f>IFERROR(IF(VLOOKUP(G43,Notas!B:K,9,FALSE)=".000","",VLOOKUP(G43,Notas!B:K,9,FALSE)/1000),"")</f>
        <v/>
      </c>
      <c r="M43" s="40"/>
    </row>
    <row r="44" spans="2:13" ht="14.4" customHeight="1" x14ac:dyDescent="0.3">
      <c r="B44" s="38"/>
      <c r="C44" s="213"/>
      <c r="D44" s="64" t="s">
        <v>88</v>
      </c>
      <c r="E44" s="79" t="s">
        <v>158</v>
      </c>
      <c r="F44" s="65"/>
      <c r="G44" s="64">
        <f>IF($F$8=" ","",IFERROR(IF($L$9="","",IFERROR(VLOOKUP(IFERROR(VLOOKUP(D44,Notas!B:B,1,FALSE),VLOOKUP(D44,Equivalencia!A:F,5,FALSE)),Notas!B:B,1,FALSE),VLOOKUP(D44,Equivalencia!A:H,8,FALSE))),""))</f>
        <v>0</v>
      </c>
      <c r="H44" s="79" t="str">
        <f>IFERROR(IF($L$9="","",IFERROR(IFERROR(VLOOKUP(G44,Equivalencia!A:B,2,FALSE),VLOOKUP(G44,Equivalencia!E:F,2,FALSE)),VLOOKUP(G44,Equivalencia!H:I,2,FALSE))),"")</f>
        <v/>
      </c>
      <c r="I44" s="88"/>
      <c r="J44" s="67">
        <v>4</v>
      </c>
      <c r="K44" s="68" t="e">
        <f>IF($F$8=" ","",VLOOKUP(G44,Notas!B:K,8,FALSE)/1000)</f>
        <v>#N/A</v>
      </c>
      <c r="L44" s="69" t="str">
        <f>IFERROR(IF(VLOOKUP(G44,Notas!B:K,9,FALSE)=".000","",VLOOKUP(G44,Notas!B:K,9,FALSE)/1000),"")</f>
        <v/>
      </c>
      <c r="M44" s="40"/>
    </row>
    <row r="45" spans="2:13" ht="14.4" customHeight="1" x14ac:dyDescent="0.3">
      <c r="B45" s="38"/>
      <c r="C45" s="213"/>
      <c r="D45" s="64" t="s">
        <v>89</v>
      </c>
      <c r="E45" s="79" t="s">
        <v>159</v>
      </c>
      <c r="F45" s="65"/>
      <c r="G45" s="64">
        <f>IF($F$8=" ","",IFERROR(IF($L$9="","",IFERROR(VLOOKUP(IFERROR(VLOOKUP(D45,Notas!B:B,1,FALSE),VLOOKUP(D45,Equivalencia!A:F,5,FALSE)),Notas!B:B,1,FALSE),VLOOKUP(D45,Equivalencia!A:H,8,FALSE))),""))</f>
        <v>0</v>
      </c>
      <c r="H45" s="79" t="str">
        <f>IFERROR(IF($L$9="","",IFERROR(IFERROR(VLOOKUP(G45,Equivalencia!A:B,2,FALSE),VLOOKUP(G45,Equivalencia!E:F,2,FALSE)),VLOOKUP(G45,Equivalencia!H:I,2,FALSE))),"")</f>
        <v/>
      </c>
      <c r="I45" s="88"/>
      <c r="J45" s="67">
        <v>4</v>
      </c>
      <c r="K45" s="68" t="e">
        <f>IF($F$8=" ","",VLOOKUP(G45,Notas!B:K,8,FALSE)/1000)</f>
        <v>#N/A</v>
      </c>
      <c r="L45" s="69" t="str">
        <f>IFERROR(IF(VLOOKUP(G45,Notas!B:K,9,FALSE)=".000","",VLOOKUP(G45,Notas!B:K,9,FALSE)/1000),"")</f>
        <v/>
      </c>
      <c r="M45" s="40"/>
    </row>
    <row r="46" spans="2:13" ht="14.4" customHeight="1" x14ac:dyDescent="0.3">
      <c r="B46" s="38"/>
      <c r="C46" s="213"/>
      <c r="D46" s="64" t="s">
        <v>90</v>
      </c>
      <c r="E46" s="79" t="s">
        <v>160</v>
      </c>
      <c r="F46" s="65"/>
      <c r="G46" s="64">
        <f>IF($F$8=" ","",IFERROR(IF($L$9="","",IFERROR(VLOOKUP(IFERROR(VLOOKUP(D46,Notas!B:B,1,FALSE),VLOOKUP(D46,Equivalencia!A:F,5,FALSE)),Notas!B:B,1,FALSE),VLOOKUP(D46,Equivalencia!A:H,8,FALSE))),""))</f>
        <v>0</v>
      </c>
      <c r="H46" s="79" t="str">
        <f>IFERROR(IF($L$9="","",IFERROR(IFERROR(VLOOKUP(G46,Equivalencia!A:B,2,FALSE),VLOOKUP(G46,Equivalencia!E:F,2,FALSE)),VLOOKUP(G46,Equivalencia!H:I,2,FALSE))),"")</f>
        <v/>
      </c>
      <c r="I46" s="88"/>
      <c r="J46" s="67">
        <v>4</v>
      </c>
      <c r="K46" s="68" t="e">
        <f>IF($F$8=" ","",VLOOKUP(G46,Notas!B:K,8,FALSE)/1000)</f>
        <v>#N/A</v>
      </c>
      <c r="L46" s="69" t="str">
        <f>IFERROR(IF(VLOOKUP(G46,Notas!B:K,9,FALSE)=".000","",VLOOKUP(G46,Notas!B:K,9,FALSE)/1000),"")</f>
        <v/>
      </c>
      <c r="M46" s="40"/>
    </row>
    <row r="47" spans="2:13" ht="14.4" customHeight="1" x14ac:dyDescent="0.3">
      <c r="B47" s="38"/>
      <c r="C47" s="213"/>
      <c r="D47" s="64" t="s">
        <v>91</v>
      </c>
      <c r="E47" s="79" t="s">
        <v>161</v>
      </c>
      <c r="F47" s="65"/>
      <c r="G47" s="64">
        <f>IF($F$8=" ","",IFERROR(IF($L$9="","",IFERROR(VLOOKUP(IFERROR(VLOOKUP(D47,Notas!B:B,1,FALSE),VLOOKUP(D47,Equivalencia!A:F,5,FALSE)),Notas!B:B,1,FALSE),VLOOKUP(D47,Equivalencia!A:H,8,FALSE))),""))</f>
        <v>0</v>
      </c>
      <c r="H47" s="79" t="str">
        <f>IFERROR(IF($L$9="","",IFERROR(IFERROR(VLOOKUP(G47,Equivalencia!A:B,2,FALSE),VLOOKUP(G47,Equivalencia!E:F,2,FALSE)),VLOOKUP(G47,Equivalencia!H:I,2,FALSE))),"")</f>
        <v/>
      </c>
      <c r="I47" s="88"/>
      <c r="J47" s="67">
        <v>4</v>
      </c>
      <c r="K47" s="68" t="e">
        <f>IF($F$8=" ","",VLOOKUP(G47,Notas!B:K,8,FALSE)/1000)</f>
        <v>#N/A</v>
      </c>
      <c r="L47" s="69" t="str">
        <f>IFERROR(IF(VLOOKUP(G47,Notas!B:K,9,FALSE)=".000","",VLOOKUP(G47,Notas!B:K,9,FALSE)/1000),"")</f>
        <v/>
      </c>
      <c r="M47" s="40"/>
    </row>
    <row r="48" spans="2:13" ht="14.4" customHeight="1" x14ac:dyDescent="0.3">
      <c r="B48" s="38"/>
      <c r="C48" s="213"/>
      <c r="D48" s="64" t="s">
        <v>92</v>
      </c>
      <c r="E48" s="79" t="s">
        <v>162</v>
      </c>
      <c r="F48" s="65"/>
      <c r="G48" s="64">
        <f>IF($F$8=" ","",IFERROR(IF($L$9="","",IFERROR(VLOOKUP(IFERROR(VLOOKUP(D48,Notas!B:B,1,FALSE),VLOOKUP(D48,Equivalencia!A:F,5,FALSE)),Notas!B:B,1,FALSE),VLOOKUP(D48,Equivalencia!A:H,8,FALSE))),""))</f>
        <v>0</v>
      </c>
      <c r="H48" s="79" t="str">
        <f>IFERROR(IF($L$9="","",IFERROR(IFERROR(VLOOKUP(G48,Equivalencia!A:B,2,FALSE),VLOOKUP(G48,Equivalencia!E:F,2,FALSE)),VLOOKUP(G48,Equivalencia!H:I,2,FALSE))),"")</f>
        <v/>
      </c>
      <c r="I48" s="88"/>
      <c r="J48" s="67">
        <v>4</v>
      </c>
      <c r="K48" s="68" t="e">
        <f>IF($F$8=" ","",VLOOKUP(G48,Notas!B:K,8,FALSE)/1000)</f>
        <v>#N/A</v>
      </c>
      <c r="L48" s="69" t="str">
        <f>IFERROR(IF(VLOOKUP(G48,Notas!B:K,9,FALSE)=".000","",VLOOKUP(G48,Notas!B:K,9,FALSE)/1000),"")</f>
        <v/>
      </c>
      <c r="M48" s="40"/>
    </row>
    <row r="49" spans="2:14" ht="14.4" customHeight="1" x14ac:dyDescent="0.3">
      <c r="B49" s="38"/>
      <c r="C49" s="213"/>
      <c r="D49" s="64" t="s">
        <v>93</v>
      </c>
      <c r="E49" s="79" t="s">
        <v>163</v>
      </c>
      <c r="F49" s="65"/>
      <c r="G49" s="64">
        <f>IF($F$8=" ","",IFERROR(IF($L$9="","",IFERROR(VLOOKUP(IFERROR(VLOOKUP(D49,Notas!B:B,1,FALSE),VLOOKUP(D49,Equivalencia!A:F,5,FALSE)),Notas!B:B,1,FALSE),VLOOKUP(D49,Equivalencia!A:H,8,FALSE))),""))</f>
        <v>0</v>
      </c>
      <c r="H49" s="79" t="str">
        <f>IFERROR(IF($L$9="","",IFERROR(IFERROR(VLOOKUP(G49,Equivalencia!A:B,2,FALSE),VLOOKUP(G49,Equivalencia!E:F,2,FALSE)),VLOOKUP(G49,Equivalencia!H:I,2,FALSE))),"")</f>
        <v/>
      </c>
      <c r="I49" s="88"/>
      <c r="J49" s="67">
        <v>4</v>
      </c>
      <c r="K49" s="68" t="e">
        <f>IF($F$8=" ","",VLOOKUP(G49,Notas!B:K,8,FALSE)/1000)</f>
        <v>#N/A</v>
      </c>
      <c r="L49" s="69" t="str">
        <f>IFERROR(IF(VLOOKUP(G49,Notas!B:K,9,FALSE)=".000","",VLOOKUP(G49,Notas!B:K,9,FALSE)/1000),"")</f>
        <v/>
      </c>
      <c r="M49" s="40"/>
    </row>
    <row r="50" spans="2:14" ht="14.4" customHeight="1" x14ac:dyDescent="0.3">
      <c r="B50" s="38"/>
      <c r="C50" s="213"/>
      <c r="D50" s="64" t="s">
        <v>94</v>
      </c>
      <c r="E50" s="79" t="s">
        <v>164</v>
      </c>
      <c r="F50" s="65"/>
      <c r="G50" s="64">
        <f>IF($F$8=" ","",IFERROR(IF($L$9="","",IFERROR(VLOOKUP(IFERROR(VLOOKUP(D50,Notas!B:B,1,FALSE),VLOOKUP(D50,Equivalencia!A:F,5,FALSE)),Notas!B:B,1,FALSE),VLOOKUP(D50,Equivalencia!A:H,8,FALSE))),""))</f>
        <v>0</v>
      </c>
      <c r="H50" s="79" t="str">
        <f>IFERROR(IF($L$9="","",IFERROR(IFERROR(VLOOKUP(G50,Equivalencia!A:B,2,FALSE),VLOOKUP(G50,Equivalencia!E:F,2,FALSE)),VLOOKUP(G50,Equivalencia!H:I,2,FALSE))),"")</f>
        <v/>
      </c>
      <c r="I50" s="88"/>
      <c r="J50" s="67">
        <v>4</v>
      </c>
      <c r="K50" s="68" t="e">
        <f>IF($F$8=" ","",VLOOKUP(G50,Notas!B:K,8,FALSE)/1000)</f>
        <v>#N/A</v>
      </c>
      <c r="L50" s="69" t="str">
        <f>IFERROR(IF(VLOOKUP(G50,Notas!B:K,9,FALSE)=".000","",VLOOKUP(G50,Notas!B:K,9,FALSE)/1000),"")</f>
        <v/>
      </c>
      <c r="M50" s="40"/>
    </row>
    <row r="51" spans="2:14" ht="14.4" customHeight="1" x14ac:dyDescent="0.3">
      <c r="B51" s="38"/>
      <c r="C51" s="213"/>
      <c r="D51" s="64" t="s">
        <v>96</v>
      </c>
      <c r="E51" s="79" t="s">
        <v>165</v>
      </c>
      <c r="F51" s="65"/>
      <c r="G51" s="64">
        <f>IF($F$8=" ","",IFERROR(IF($L$9="","",IFERROR(VLOOKUP(IFERROR(VLOOKUP(D51,Notas!B:B,1,FALSE),VLOOKUP(D51,Equivalencia!A:F,5,FALSE)),Notas!B:B,1,FALSE),VLOOKUP(D51,Equivalencia!A:H,8,FALSE))),""))</f>
        <v>0</v>
      </c>
      <c r="H51" s="79" t="str">
        <f>IFERROR(IF($L$9="","",IFERROR(IFERROR(VLOOKUP(G51,Equivalencia!A:B,2,FALSE),VLOOKUP(G51,Equivalencia!E:F,2,FALSE)),VLOOKUP(G51,Equivalencia!H:I,2,FALSE))),"")</f>
        <v/>
      </c>
      <c r="I51" s="88"/>
      <c r="J51" s="67">
        <v>4</v>
      </c>
      <c r="K51" s="68" t="e">
        <f>IF($F$8=" ","",VLOOKUP(G51,Notas!B:K,8,FALSE)/1000)</f>
        <v>#N/A</v>
      </c>
      <c r="L51" s="69" t="str">
        <f>IFERROR(IF(VLOOKUP(G51,Notas!B:K,9,FALSE)=".000","",VLOOKUP(G51,Notas!B:K,9,FALSE)/1000),"")</f>
        <v/>
      </c>
      <c r="M51" s="40"/>
    </row>
    <row r="52" spans="2:14" ht="14.4" customHeight="1" x14ac:dyDescent="0.3">
      <c r="B52" s="38"/>
      <c r="C52" s="213"/>
      <c r="D52" s="64" t="s">
        <v>166</v>
      </c>
      <c r="E52" s="79" t="s">
        <v>167</v>
      </c>
      <c r="F52" s="65"/>
      <c r="G52" s="64">
        <f>IF($F$8=" ","",IFERROR(IF($L$9="","",IFERROR(VLOOKUP(IFERROR(VLOOKUP(D52,Notas!B:B,1,FALSE),VLOOKUP(D52,Equivalencia!A:F,5,FALSE)),Notas!B:B,1,FALSE),VLOOKUP(D52,Equivalencia!A:H,8,FALSE))),""))</f>
        <v>0</v>
      </c>
      <c r="H52" s="79" t="str">
        <f>IFERROR(IF($L$9="","",IFERROR(IFERROR(VLOOKUP(G52,Equivalencia!A:B,2,FALSE),VLOOKUP(G52,Equivalencia!E:F,2,FALSE)),VLOOKUP(G52,Equivalencia!H:I,2,FALSE))),"")</f>
        <v/>
      </c>
      <c r="I52" s="88"/>
      <c r="J52" s="67">
        <v>3</v>
      </c>
      <c r="K52" s="68" t="e">
        <f>IF($F$8=" ","",VLOOKUP(G52,Notas!B:K,8,FALSE)/1000)</f>
        <v>#N/A</v>
      </c>
      <c r="L52" s="69" t="str">
        <f>IFERROR(IF(VLOOKUP(G52,Notas!B:K,9,FALSE)=".000","",VLOOKUP(G52,Notas!B:K,9,FALSE)/1000),"")</f>
        <v/>
      </c>
      <c r="M52" s="40"/>
    </row>
    <row r="53" spans="2:14" ht="14.4" customHeight="1" x14ac:dyDescent="0.3">
      <c r="B53" s="38"/>
      <c r="C53" s="213"/>
      <c r="D53" s="64" t="s">
        <v>99</v>
      </c>
      <c r="E53" s="79" t="s">
        <v>169</v>
      </c>
      <c r="F53" s="65"/>
      <c r="G53" s="64">
        <f>IF($F$8=" ","",IFERROR(IF($L$9="","",IFERROR(VLOOKUP(IFERROR(VLOOKUP(D53,Notas!B:B,1,FALSE),VLOOKUP(D53,Equivalencia!A:F,5,FALSE)),Notas!B:B,1,FALSE),VLOOKUP(D53,Equivalencia!A:H,8,FALSE))),""))</f>
        <v>0</v>
      </c>
      <c r="H53" s="79" t="str">
        <f>IFERROR(IF($L$9="","",IFERROR(IFERROR(VLOOKUP(G53,Equivalencia!A:B,2,FALSE),VLOOKUP(G53,Equivalencia!E:F,2,FALSE)),VLOOKUP(G53,Equivalencia!H:I,2,FALSE))),"")</f>
        <v/>
      </c>
      <c r="I53" s="88"/>
      <c r="J53" s="67">
        <v>3</v>
      </c>
      <c r="K53" s="68" t="e">
        <f>IF($F$8=" ","",VLOOKUP(G53,Notas!B:K,8,FALSE)/1000)</f>
        <v>#N/A</v>
      </c>
      <c r="L53" s="69" t="str">
        <f>IFERROR(IF(VLOOKUP(G53,Notas!B:K,9,FALSE)=".000","",VLOOKUP(G53,Notas!B:K,9,FALSE)/1000),"")</f>
        <v/>
      </c>
      <c r="M53" s="40"/>
    </row>
    <row r="54" spans="2:14" ht="14.4" customHeight="1" x14ac:dyDescent="0.3">
      <c r="B54" s="38"/>
      <c r="C54" s="213"/>
      <c r="D54" s="64" t="s">
        <v>100</v>
      </c>
      <c r="E54" s="79" t="s">
        <v>170</v>
      </c>
      <c r="F54" s="65"/>
      <c r="G54" s="64">
        <f>IF($F$8=" ","",IFERROR(IF($L$9="","",IFERROR(VLOOKUP(IFERROR(VLOOKUP(D54,Notas!B:B,1,FALSE),VLOOKUP(D54,Equivalencia!A:F,5,FALSE)),Notas!B:B,1,FALSE),VLOOKUP(D54,Equivalencia!A:H,8,FALSE))),""))</f>
        <v>0</v>
      </c>
      <c r="H54" s="79" t="str">
        <f>IFERROR(IF($L$9="","",IFERROR(IFERROR(VLOOKUP(G54,Equivalencia!A:B,2,FALSE),VLOOKUP(G54,Equivalencia!E:F,2,FALSE)),VLOOKUP(G54,Equivalencia!H:I,2,FALSE))),"")</f>
        <v/>
      </c>
      <c r="I54" s="88"/>
      <c r="J54" s="67">
        <v>4</v>
      </c>
      <c r="K54" s="68" t="e">
        <f>IF($F$8=" ","",VLOOKUP(G54,Notas!B:K,8,FALSE)/1000)</f>
        <v>#N/A</v>
      </c>
      <c r="L54" s="69" t="str">
        <f>IFERROR(IF(VLOOKUP(G54,Notas!B:K,9,FALSE)=".000","",VLOOKUP(G54,Notas!B:K,9,FALSE)/1000),"")</f>
        <v/>
      </c>
      <c r="M54" s="40"/>
    </row>
    <row r="55" spans="2:14" ht="14.4" customHeight="1" x14ac:dyDescent="0.3">
      <c r="B55" s="38"/>
      <c r="C55" s="213"/>
      <c r="D55" s="64" t="s">
        <v>171</v>
      </c>
      <c r="E55" s="79" t="s">
        <v>172</v>
      </c>
      <c r="F55" s="65"/>
      <c r="G55" s="64" t="str">
        <f>IF($F$8=" ","",IFERROR(IF($L$9="","",IFERROR(VLOOKUP(IFERROR(VLOOKUP(D55,Notas!B:B,1,FALSE),VLOOKUP(D55,Equivalencia!A:F,5,FALSE)),Notas!B:B,1,FALSE),VLOOKUP(D55,Equivalencia!A:H,8,FALSE))),""))</f>
        <v/>
      </c>
      <c r="H55" s="79" t="str">
        <f>IFERROR(IF($L$9="","",IFERROR(IFERROR(VLOOKUP(G55,Equivalencia!A:B,2,FALSE),VLOOKUP(G55,Equivalencia!E:F,2,FALSE)),VLOOKUP(G55,Equivalencia!H:I,2,FALSE))),"")</f>
        <v/>
      </c>
      <c r="I55" s="88"/>
      <c r="J55" s="67">
        <v>4</v>
      </c>
      <c r="K55" s="68" t="e">
        <f>IF($F$8=" ","",VLOOKUP(G55,Notas!B:K,8,FALSE)/1000)</f>
        <v>#N/A</v>
      </c>
      <c r="L55" s="69" t="str">
        <f>IFERROR(IF(VLOOKUP(G55,Notas!B:K,9,FALSE)=".000","",VLOOKUP(G55,Notas!B:K,9,FALSE)/1000),"")</f>
        <v/>
      </c>
      <c r="M55" s="40"/>
    </row>
    <row r="56" spans="2:14" ht="14.4" customHeight="1" x14ac:dyDescent="0.3">
      <c r="B56" s="38"/>
      <c r="C56" s="213"/>
      <c r="D56" s="64" t="s">
        <v>173</v>
      </c>
      <c r="E56" s="79" t="s">
        <v>174</v>
      </c>
      <c r="F56" s="65"/>
      <c r="G56" s="64" t="str">
        <f>IF($F$8=" ","",IFERROR(IF($L$9="","",IFERROR(VLOOKUP(IFERROR(VLOOKUP(D56,Notas!B:B,1,FALSE),VLOOKUP(D56,Equivalencia!A:F,5,FALSE)),Notas!B:B,1,FALSE),VLOOKUP(D56,Equivalencia!A:H,8,FALSE))),""))</f>
        <v/>
      </c>
      <c r="H56" s="79" t="str">
        <f>IFERROR(IF($L$9="","",IFERROR(IFERROR(VLOOKUP(G56,Equivalencia!A:B,2,FALSE),VLOOKUP(G56,Equivalencia!E:F,2,FALSE)),VLOOKUP(G56,Equivalencia!H:I,2,FALSE))),"")</f>
        <v/>
      </c>
      <c r="I56" s="88"/>
      <c r="J56" s="67">
        <v>4</v>
      </c>
      <c r="K56" s="68" t="e">
        <f>IF($F$8=" ","",VLOOKUP(G56,Notas!B:K,8,FALSE)/1000)</f>
        <v>#N/A</v>
      </c>
      <c r="L56" s="69" t="str">
        <f>IFERROR(IF(VLOOKUP(G56,Notas!B:K,9,FALSE)=".000","",VLOOKUP(G56,Notas!B:K,9,FALSE)/1000),"")</f>
        <v/>
      </c>
      <c r="M56" s="40"/>
    </row>
    <row r="57" spans="2:14" ht="14.4" customHeight="1" x14ac:dyDescent="0.3">
      <c r="B57" s="38"/>
      <c r="C57" s="213"/>
      <c r="D57" s="64" t="s">
        <v>112</v>
      </c>
      <c r="E57" s="79" t="s">
        <v>175</v>
      </c>
      <c r="F57" s="65"/>
      <c r="G57" s="64" t="str">
        <f>IF($F$8=" ","",IFERROR(IF($L$9="","",IFERROR(VLOOKUP(IFERROR(VLOOKUP(D57,Notas!B:B,1,FALSE),VLOOKUP(D57,Equivalencia!A:F,5,FALSE)),Notas!B:B,1,FALSE),VLOOKUP(D57,Equivalencia!A:H,8,FALSE))),""))</f>
        <v/>
      </c>
      <c r="H57" s="79" t="str">
        <f>IFERROR(IF($L$9="","",IFERROR(IFERROR(VLOOKUP(G57,Equivalencia!A:B,2,FALSE),VLOOKUP(G57,Equivalencia!E:F,2,FALSE)),VLOOKUP(G57,Equivalencia!H:I,2,FALSE))),"")</f>
        <v/>
      </c>
      <c r="I57" s="88"/>
      <c r="J57" s="67">
        <v>3</v>
      </c>
      <c r="K57" s="68" t="e">
        <f>IF($F$8=" ","",VLOOKUP(G57,Notas!B:K,8,FALSE)/1000)</f>
        <v>#N/A</v>
      </c>
      <c r="L57" s="69" t="str">
        <f>IFERROR(IF(VLOOKUP(G57,Notas!B:K,9,FALSE)=".000","",VLOOKUP(G57,Notas!B:K,9,FALSE)/1000),"")</f>
        <v/>
      </c>
      <c r="M57" s="40"/>
    </row>
    <row r="58" spans="2:14" ht="14.4" customHeight="1" x14ac:dyDescent="0.3">
      <c r="B58" s="38"/>
      <c r="C58" s="213"/>
      <c r="D58" s="64" t="s">
        <v>176</v>
      </c>
      <c r="E58" s="79" t="s">
        <v>177</v>
      </c>
      <c r="F58" s="65"/>
      <c r="G58" s="64">
        <f>IF($F$8=" ","",IFERROR(IF($L$9="","",IFERROR(VLOOKUP(IFERROR(VLOOKUP(D58,Notas!B:B,1,FALSE),VLOOKUP(D58,Equivalencia!A:F,5,FALSE)),Notas!B:B,1,FALSE),VLOOKUP(D58,Equivalencia!A:H,8,FALSE))),""))</f>
        <v>0</v>
      </c>
      <c r="H58" s="79" t="str">
        <f>IFERROR(IF($L$9="","",IFERROR(IFERROR(VLOOKUP(G58,Equivalencia!A:B,2,FALSE),VLOOKUP(G58,Equivalencia!E:F,2,FALSE)),VLOOKUP(G58,Equivalencia!H:I,2,FALSE))),"")</f>
        <v/>
      </c>
      <c r="I58" s="88"/>
      <c r="J58" s="67">
        <v>2</v>
      </c>
      <c r="K58" s="68" t="e">
        <f>IF($F$8=" ","",VLOOKUP(G58,Notas!B:K,8,FALSE)/1000)</f>
        <v>#N/A</v>
      </c>
      <c r="L58" s="69" t="str">
        <f>IFERROR(IF(VLOOKUP(G58,Notas!B:K,9,FALSE)=".000","",VLOOKUP(G58,Notas!B:K,9,FALSE)/1000),"")</f>
        <v/>
      </c>
      <c r="M58" s="40"/>
    </row>
    <row r="59" spans="2:14" ht="14.4" customHeight="1" x14ac:dyDescent="0.3">
      <c r="B59" s="38"/>
      <c r="C59" s="213"/>
      <c r="D59" s="64" t="s">
        <v>153</v>
      </c>
      <c r="E59" s="79" t="s">
        <v>179</v>
      </c>
      <c r="F59" s="65"/>
      <c r="G59" s="64" t="str">
        <f>IF($F$8=" ","",IFERROR(IF($L$9="","",IFERROR(VLOOKUP(IFERROR(VLOOKUP(D59,Notas!B:B,1,FALSE),VLOOKUP(D59,Equivalencia!A:F,5,FALSE)),Notas!B:B,1,FALSE),VLOOKUP(D59,Equivalencia!A:H,8,FALSE))),""))</f>
        <v/>
      </c>
      <c r="H59" s="79" t="str">
        <f>IFERROR(IF($L$9="","",IFERROR(IFERROR(VLOOKUP(G59,Equivalencia!A:B,2,FALSE),VLOOKUP(G59,Equivalencia!E:F,2,FALSE)),VLOOKUP(G59,Equivalencia!H:I,2,FALSE))),"")</f>
        <v/>
      </c>
      <c r="I59" s="88"/>
      <c r="J59" s="67">
        <v>3</v>
      </c>
      <c r="K59" s="68" t="e">
        <f>IF($F$8=" ","",VLOOKUP(G59,Notas!B:K,8,FALSE)/1000)</f>
        <v>#N/A</v>
      </c>
      <c r="L59" s="69" t="str">
        <f>IFERROR(IF(VLOOKUP(G59,Notas!B:K,9,FALSE)=".000","",VLOOKUP(G59,Notas!B:K,9,FALSE)/1000),"")</f>
        <v/>
      </c>
      <c r="M59" s="40"/>
    </row>
    <row r="60" spans="2:14" ht="14.4" customHeight="1" x14ac:dyDescent="0.3">
      <c r="B60" s="38"/>
      <c r="C60" s="213"/>
      <c r="D60" s="70" t="s">
        <v>180</v>
      </c>
      <c r="E60" s="80" t="s">
        <v>181</v>
      </c>
      <c r="F60" s="71"/>
      <c r="G60" s="70">
        <f>IF($F$8=" ","",IFERROR(IF($L$9="","",IFERROR(VLOOKUP(IFERROR(VLOOKUP(D60,Notas!B:B,1,FALSE),VLOOKUP(D60,Equivalencia!A:F,5,FALSE)),Notas!B:B,1,FALSE),VLOOKUP(D60,Equivalencia!A:H,8,FALSE))),""))</f>
        <v>0</v>
      </c>
      <c r="H60" s="80" t="str">
        <f>IFERROR(IF($L$9="","",IFERROR(IFERROR(VLOOKUP(G60,Equivalencia!A:B,2,FALSE),VLOOKUP(G60,Equivalencia!E:F,2,FALSE)),VLOOKUP(G60,Equivalencia!H:I,2,FALSE))),"")</f>
        <v/>
      </c>
      <c r="I60" s="131"/>
      <c r="J60" s="132">
        <v>3</v>
      </c>
      <c r="K60" s="72" t="e">
        <f>IF($F$8=" ","",VLOOKUP(G60,Notas!B:K,8,FALSE)/1000)</f>
        <v>#N/A</v>
      </c>
      <c r="L60" s="73" t="str">
        <f>IFERROR(IF(VLOOKUP(G60,Notas!B:K,9,FALSE)=".000","",VLOOKUP(G60,Notas!B:K,9,FALSE)/1000),"")</f>
        <v/>
      </c>
      <c r="M60" s="40"/>
    </row>
    <row r="61" spans="2:14" ht="14.4" customHeight="1" x14ac:dyDescent="0.3">
      <c r="B61" s="38"/>
      <c r="C61" s="141" t="s">
        <v>105</v>
      </c>
      <c r="D61" s="142"/>
      <c r="E61" s="142"/>
      <c r="F61" s="143"/>
      <c r="G61" s="60" t="str">
        <f>Optativas!D4</f>
        <v>IN951</v>
      </c>
      <c r="H61" s="150" t="str">
        <f>Optativas!E4</f>
        <v>ELECTIVA I</v>
      </c>
      <c r="I61" s="151"/>
      <c r="J61" s="61">
        <f>Optativas!F4</f>
        <v>3</v>
      </c>
      <c r="K61" s="62" t="e">
        <f>IF($F$8=" ","",VLOOKUP(G61,Notas!B:K,8,FALSE)/1000)</f>
        <v>#N/A</v>
      </c>
      <c r="L61" s="63" t="str">
        <f>IFERROR(IF(VLOOKUP(G61,Notas!B:K,9,FALSE)=".000","",VLOOKUP(G61,Notas!B:K,9,FALSE)/1000),"")</f>
        <v/>
      </c>
      <c r="M61" s="40"/>
    </row>
    <row r="62" spans="2:14" ht="14.4" customHeight="1" x14ac:dyDescent="0.3">
      <c r="B62" s="38"/>
      <c r="C62" s="144"/>
      <c r="D62" s="145"/>
      <c r="E62" s="145"/>
      <c r="F62" s="146"/>
      <c r="G62" s="125" t="str">
        <f>Optativas!D5</f>
        <v>IN952</v>
      </c>
      <c r="H62" s="126" t="str">
        <f>Optativas!E5</f>
        <v>ELECTIVA II</v>
      </c>
      <c r="I62" s="127"/>
      <c r="J62" s="128">
        <f>Optativas!F5</f>
        <v>3</v>
      </c>
      <c r="K62" s="129" t="e">
        <f>IF($F$8=" ","",VLOOKUP(G62,Notas!B:K,8,FALSE)/1000)</f>
        <v>#N/A</v>
      </c>
      <c r="L62" s="130" t="str">
        <f>IFERROR(IF(VLOOKUP(G62,Notas!B:K,9,FALSE)=".000","",VLOOKUP(G62,Notas!B:K,9,FALSE)/1000),"")</f>
        <v/>
      </c>
      <c r="M62" s="40"/>
    </row>
    <row r="63" spans="2:14" ht="14.4" customHeight="1" x14ac:dyDescent="0.3">
      <c r="B63" s="38"/>
      <c r="C63" s="147"/>
      <c r="D63" s="148"/>
      <c r="E63" s="148"/>
      <c r="F63" s="149"/>
      <c r="G63" s="74" t="str">
        <f>Optativas!D6</f>
        <v>IN961</v>
      </c>
      <c r="H63" s="126" t="str">
        <f>Optativas!E6</f>
        <v>ELECTIVA III</v>
      </c>
      <c r="I63" s="140"/>
      <c r="J63" s="75">
        <f>Optativas!F6</f>
        <v>3</v>
      </c>
      <c r="K63" s="76" t="e">
        <f>IF($F$8=" ","",VLOOKUP(G63,Notas!B:K,8,FALSE)/1000)</f>
        <v>#N/A</v>
      </c>
      <c r="L63" s="77" t="str">
        <f>IFERROR(IF(VLOOKUP(G63,Notas!B:K,9,FALSE)=".000","",VLOOKUP(G63,Notas!B:K,9,FALSE)/1000),"")</f>
        <v/>
      </c>
      <c r="M63" s="40"/>
    </row>
    <row r="64" spans="2:14" ht="9.4499999999999993" customHeight="1" x14ac:dyDescent="0.3">
      <c r="B64" s="38"/>
      <c r="C64" s="84"/>
      <c r="D64" s="21"/>
      <c r="E64" s="22"/>
      <c r="F64" s="22"/>
      <c r="G64" s="21"/>
      <c r="H64" s="22"/>
      <c r="I64" s="22"/>
      <c r="J64" s="23"/>
      <c r="K64" s="21"/>
      <c r="L64" s="21"/>
      <c r="M64" s="40"/>
      <c r="N64" s="31" t="s">
        <v>0</v>
      </c>
    </row>
    <row r="65" spans="2:13" ht="13.5" customHeight="1" x14ac:dyDescent="0.3">
      <c r="B65" s="38"/>
      <c r="C65" s="159" t="s">
        <v>111</v>
      </c>
      <c r="D65" s="160"/>
      <c r="E65" s="160"/>
      <c r="F65" s="160"/>
      <c r="G65" s="160"/>
      <c r="H65" s="160"/>
      <c r="I65" s="161"/>
      <c r="J65" s="153">
        <f>SUM(J12:J63)</f>
        <v>151</v>
      </c>
      <c r="K65" s="154"/>
      <c r="L65" s="155"/>
      <c r="M65" s="40"/>
    </row>
    <row r="66" spans="2:13" ht="13.5" customHeight="1" x14ac:dyDescent="0.3">
      <c r="B66" s="38"/>
      <c r="C66" s="167" t="s">
        <v>37</v>
      </c>
      <c r="D66" s="168"/>
      <c r="E66" s="168"/>
      <c r="F66" s="168"/>
      <c r="G66" s="168"/>
      <c r="H66" s="168"/>
      <c r="I66" s="169"/>
      <c r="J66" s="156" t="str">
        <f>IFERROR(SUMPRODUCT(J12:J63,K12:K63)/J65,"")</f>
        <v/>
      </c>
      <c r="K66" s="157"/>
      <c r="L66" s="158"/>
      <c r="M66" s="40"/>
    </row>
    <row r="67" spans="2:13" ht="9.4499999999999993" customHeight="1" x14ac:dyDescent="0.3">
      <c r="B67" s="38"/>
      <c r="C67" s="83"/>
      <c r="D67" s="3"/>
      <c r="E67" s="4"/>
      <c r="F67" s="4"/>
      <c r="G67" s="3"/>
      <c r="H67" s="4"/>
      <c r="I67" s="4"/>
      <c r="J67" s="5"/>
      <c r="K67" s="3"/>
      <c r="L67" s="3"/>
      <c r="M67" s="40"/>
    </row>
    <row r="68" spans="2:13" ht="12.45" customHeight="1" x14ac:dyDescent="0.3">
      <c r="B68" s="38"/>
      <c r="C68" s="92" t="s">
        <v>117</v>
      </c>
      <c r="D68" s="50"/>
      <c r="E68" s="48"/>
      <c r="F68" s="48"/>
      <c r="G68" s="48"/>
      <c r="H68" s="48"/>
      <c r="I68" s="48"/>
      <c r="J68" s="48"/>
      <c r="K68" s="48"/>
      <c r="L68" s="49"/>
      <c r="M68" s="40"/>
    </row>
    <row r="69" spans="2:13" ht="33.75" customHeight="1" x14ac:dyDescent="0.3">
      <c r="B69" s="38"/>
      <c r="C69" s="164"/>
      <c r="D69" s="165"/>
      <c r="E69" s="165"/>
      <c r="F69" s="165"/>
      <c r="G69" s="165"/>
      <c r="H69" s="165"/>
      <c r="I69" s="165"/>
      <c r="J69" s="165"/>
      <c r="K69" s="165"/>
      <c r="L69" s="166"/>
      <c r="M69" s="40"/>
    </row>
    <row r="70" spans="2:13" ht="8.25" customHeight="1" x14ac:dyDescent="0.3">
      <c r="B70" s="38"/>
      <c r="C70" s="91"/>
      <c r="D70" s="51"/>
      <c r="E70" s="46"/>
      <c r="F70" s="46"/>
      <c r="G70" s="46"/>
      <c r="H70" s="46"/>
      <c r="I70" s="46"/>
      <c r="J70" s="46"/>
      <c r="K70" s="46"/>
      <c r="L70" s="46"/>
      <c r="M70" s="40"/>
    </row>
    <row r="71" spans="2:13" ht="14.4" customHeight="1" x14ac:dyDescent="0.3">
      <c r="B71" s="38"/>
      <c r="C71" s="83"/>
      <c r="D71" s="3"/>
      <c r="E71" s="163"/>
      <c r="F71" s="163"/>
      <c r="G71" s="163"/>
      <c r="H71" s="4"/>
      <c r="I71" s="163"/>
      <c r="J71" s="163"/>
      <c r="K71" s="163"/>
      <c r="L71" s="3"/>
      <c r="M71" s="40"/>
    </row>
    <row r="72" spans="2:13" ht="10.5" customHeight="1" x14ac:dyDescent="0.3">
      <c r="B72" s="38"/>
      <c r="C72" s="83"/>
      <c r="D72" s="3"/>
      <c r="E72" s="163"/>
      <c r="F72" s="163"/>
      <c r="G72" s="163"/>
      <c r="H72" s="4"/>
      <c r="I72" s="163"/>
      <c r="J72" s="163"/>
      <c r="K72" s="163"/>
      <c r="L72" s="3"/>
      <c r="M72" s="40"/>
    </row>
    <row r="73" spans="2:13" ht="12" customHeight="1" x14ac:dyDescent="0.3">
      <c r="B73" s="38"/>
      <c r="C73" s="83"/>
      <c r="D73" s="3"/>
      <c r="E73" s="163"/>
      <c r="F73" s="163"/>
      <c r="G73" s="163"/>
      <c r="H73" s="4"/>
      <c r="I73" s="163"/>
      <c r="J73" s="163"/>
      <c r="K73" s="163"/>
      <c r="L73" s="3"/>
      <c r="M73" s="40"/>
    </row>
    <row r="74" spans="2:13" ht="8.25" customHeight="1" x14ac:dyDescent="0.3">
      <c r="B74" s="38"/>
      <c r="C74" s="83"/>
      <c r="D74" s="3"/>
      <c r="E74" s="163"/>
      <c r="F74" s="163"/>
      <c r="G74" s="163"/>
      <c r="H74" s="4"/>
      <c r="I74" s="163"/>
      <c r="J74" s="163"/>
      <c r="K74" s="163"/>
      <c r="L74" s="3"/>
      <c r="M74" s="40"/>
    </row>
    <row r="75" spans="2:13" ht="2.25" customHeight="1" x14ac:dyDescent="0.3">
      <c r="B75" s="38"/>
      <c r="C75" s="83"/>
      <c r="D75" s="3"/>
      <c r="E75" s="29"/>
      <c r="F75" s="29"/>
      <c r="G75" s="29"/>
      <c r="H75" s="4"/>
      <c r="I75" s="29"/>
      <c r="J75" s="29"/>
      <c r="K75" s="29"/>
      <c r="L75" s="3"/>
      <c r="M75" s="40"/>
    </row>
    <row r="76" spans="2:13" ht="13.2" customHeight="1" x14ac:dyDescent="0.3">
      <c r="B76" s="38"/>
      <c r="C76" s="83"/>
      <c r="D76" s="3"/>
      <c r="E76" s="162" t="s">
        <v>383</v>
      </c>
      <c r="F76" s="162"/>
      <c r="G76" s="162"/>
      <c r="H76" s="30"/>
      <c r="I76" s="162" t="s">
        <v>384</v>
      </c>
      <c r="J76" s="162"/>
      <c r="K76" s="162"/>
      <c r="L76" s="3"/>
      <c r="M76" s="40"/>
    </row>
    <row r="77" spans="2:13" ht="11.7" customHeight="1" x14ac:dyDescent="0.3">
      <c r="B77" s="38"/>
      <c r="C77" s="83"/>
      <c r="D77" s="3"/>
      <c r="E77" s="152" t="s">
        <v>38</v>
      </c>
      <c r="F77" s="152"/>
      <c r="G77" s="152"/>
      <c r="H77" s="30"/>
      <c r="I77" s="152" t="s">
        <v>39</v>
      </c>
      <c r="J77" s="152"/>
      <c r="K77" s="152"/>
      <c r="L77" s="3"/>
      <c r="M77" s="40"/>
    </row>
    <row r="78" spans="2:13" x14ac:dyDescent="0.3">
      <c r="B78" s="38"/>
      <c r="C78" s="83"/>
      <c r="D78" s="3"/>
      <c r="E78" s="4"/>
      <c r="F78" s="4"/>
      <c r="G78" s="3"/>
      <c r="H78" s="4"/>
      <c r="I78" s="4"/>
      <c r="J78" s="5"/>
      <c r="K78" s="3"/>
      <c r="L78" s="3"/>
      <c r="M78" s="40"/>
    </row>
    <row r="79" spans="2:13" x14ac:dyDescent="0.3">
      <c r="B79" s="41"/>
      <c r="C79" s="85"/>
      <c r="D79" s="42"/>
      <c r="E79" s="43"/>
      <c r="F79" s="43"/>
      <c r="G79" s="42"/>
      <c r="H79" s="43"/>
      <c r="I79" s="43"/>
      <c r="J79" s="44"/>
      <c r="K79" s="42"/>
      <c r="L79" s="42"/>
      <c r="M79" s="45"/>
    </row>
  </sheetData>
  <sheetProtection selectLockedCells="1"/>
  <protectedRanges>
    <protectedRange sqref="C69 E76 I76" name="Editables"/>
  </protectedRanges>
  <mergeCells count="34">
    <mergeCell ref="C12:C13"/>
    <mergeCell ref="C14:C25"/>
    <mergeCell ref="C26:C27"/>
    <mergeCell ref="C28:C33"/>
    <mergeCell ref="C35:C60"/>
    <mergeCell ref="F9:I9"/>
    <mergeCell ref="H11:I11"/>
    <mergeCell ref="J3:L4"/>
    <mergeCell ref="J9:K9"/>
    <mergeCell ref="J8:K8"/>
    <mergeCell ref="E3:I4"/>
    <mergeCell ref="E5:I5"/>
    <mergeCell ref="E6:I6"/>
    <mergeCell ref="F8:I8"/>
    <mergeCell ref="C8:E8"/>
    <mergeCell ref="C3:D6"/>
    <mergeCell ref="C9:E9"/>
    <mergeCell ref="L5:L6"/>
    <mergeCell ref="J5:K6"/>
    <mergeCell ref="C11:D11"/>
    <mergeCell ref="E11:F11"/>
    <mergeCell ref="C61:F63"/>
    <mergeCell ref="H61:I61"/>
    <mergeCell ref="I77:K77"/>
    <mergeCell ref="J65:L65"/>
    <mergeCell ref="J66:L66"/>
    <mergeCell ref="C65:I65"/>
    <mergeCell ref="I76:K76"/>
    <mergeCell ref="I71:K74"/>
    <mergeCell ref="C69:L69"/>
    <mergeCell ref="C66:I66"/>
    <mergeCell ref="E76:G76"/>
    <mergeCell ref="E77:G77"/>
    <mergeCell ref="E71:G74"/>
  </mergeCells>
  <phoneticPr fontId="4" type="noConversion"/>
  <conditionalFormatting sqref="F9">
    <cfRule type="cellIs" dxfId="9" priority="20" operator="equal">
      <formula>"-"</formula>
    </cfRule>
    <cfRule type="cellIs" dxfId="8" priority="21" operator="equal">
      <formula>"- "</formula>
    </cfRule>
  </conditionalFormatting>
  <conditionalFormatting sqref="L12:L63">
    <cfRule type="expression" dxfId="7" priority="17">
      <formula>AND(K12&lt;6,L12="")</formula>
    </cfRule>
  </conditionalFormatting>
  <conditionalFormatting sqref="J65:L66">
    <cfRule type="expression" dxfId="6" priority="16">
      <formula>$J$65&lt;&gt;151</formula>
    </cfRule>
  </conditionalFormatting>
  <conditionalFormatting sqref="K70:K80 K2:K68">
    <cfRule type="cellIs" dxfId="5" priority="13" operator="lessThan">
      <formula>6</formula>
    </cfRule>
  </conditionalFormatting>
  <conditionalFormatting sqref="L9">
    <cfRule type="expression" dxfId="4" priority="8">
      <formula>LEN($L$9)=4</formula>
    </cfRule>
  </conditionalFormatting>
  <conditionalFormatting sqref="D67:D68 D70:D1048576 D64 D1:D60">
    <cfRule type="duplicateValues" dxfId="3" priority="43"/>
  </conditionalFormatting>
  <conditionalFormatting sqref="G1:G1048576">
    <cfRule type="cellIs" dxfId="2" priority="3" operator="equal">
      <formula>0</formula>
    </cfRule>
  </conditionalFormatting>
  <conditionalFormatting sqref="K1:K1048576">
    <cfRule type="containsErrors" dxfId="1" priority="44">
      <formula>ISERROR(K1)</formula>
    </cfRule>
  </conditionalFormatting>
  <conditionalFormatting sqref="J66:L66">
    <cfRule type="containsBlanks" dxfId="0" priority="1">
      <formula>LEN(TRIM(J66))=0</formula>
    </cfRule>
  </conditionalFormatting>
  <dataValidations disablePrompts="1" count="6">
    <dataValidation allowBlank="1" showInputMessage="1" showErrorMessage="1" error="NO SE PUEDE MODIFICAR ESTA CELDA" sqref="C68" xr:uid="{00000000-0002-0000-0000-000000000000}"/>
    <dataValidation operator="equal" showInputMessage="1" showErrorMessage="1" error="EL FORMATO DEBE SER: _x000a__x000a_AÑO-PERIODO (EN NÚMERO, SIN ESPACIOS)_x000a__x000a_EJEMPLO: 2020-1" sqref="L9" xr:uid="{00000000-0002-0000-0000-000001000000}"/>
    <dataValidation operator="greaterThan" allowBlank="1" showDropDown="1" showInputMessage="1" showErrorMessage="1" error="NO SE PUEDE MODIFICAR ESTA CELDA" sqref="F8 J65:L66" xr:uid="{00000000-0002-0000-0000-000002000000}"/>
    <dataValidation type="list" operator="greaterThan" allowBlank="1" showDropDown="1" showInputMessage="1" showErrorMessage="1" error="NO SE PUEDE MODIFICAR ESTA CELDA" sqref="L8" xr:uid="{00000000-0002-0000-0000-000003000000}">
      <formula1>#REF!</formula1>
    </dataValidation>
    <dataValidation showInputMessage="1" showErrorMessage="1" sqref="E11:F11" xr:uid="{00000000-0002-0000-0000-000004000000}"/>
    <dataValidation allowBlank="1" showInputMessage="1" showErrorMessage="1" error="POR FAVOR SELECCIONAR UN PROGRAMA DE LA LISTA_x000a_" sqref="F9" xr:uid="{00000000-0002-0000-0000-000005000000}"/>
  </dataValidations>
  <printOptions horizontalCentered="1"/>
  <pageMargins left="0.5" right="0.5" top="0.5" bottom="0.1" header="0.31496062992125984" footer="0.31496062992125984"/>
  <pageSetup paperSize="279" scale="67" orientation="portrait" r:id="rId1"/>
  <ignoredErrors>
    <ignoredError sqref="G33" formula="1"/>
    <ignoredError sqref="K34:K52 K12:K32 K54:K61" evalError="1"/>
    <ignoredError sqref="K33" evalError="1" 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operator="greaterThan" allowBlank="1" showDropDown="1" showInputMessage="1" showErrorMessage="1" error="NO SE PUEDE MODIFICAR ESTA CELDA" xr:uid="{00000000-0002-0000-0000-000006000000}">
          <x14:formula1>
            <xm:f>Notas!#REF!</xm:f>
          </x14:formula1>
          <xm:sqref>L8</xm:sqref>
        </x14:dataValidation>
        <x14:dataValidation type="list" showInputMessage="1" showErrorMessage="1" xr:uid="{535F303F-66B9-438A-A9F7-04C971E5875C}">
          <x14:formula1>
            <xm:f>Optativas!$E$4:$E$13</xm:f>
          </x14:formula1>
          <xm:sqref>H61:I63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U352"/>
  <sheetViews>
    <sheetView workbookViewId="0">
      <pane xSplit="2" ySplit="1" topLeftCell="C84" activePane="bottomRight" state="frozen"/>
      <selection pane="topRight" activeCell="C1" sqref="C1"/>
      <selection pane="bottomLeft" activeCell="A2" sqref="A2"/>
      <selection pane="bottomRight" activeCell="A154" sqref="A154"/>
    </sheetView>
  </sheetViews>
  <sheetFormatPr baseColWidth="10" defaultColWidth="11.44140625" defaultRowHeight="14.4" x14ac:dyDescent="0.3"/>
  <sheetData>
    <row r="1" spans="1:12" x14ac:dyDescent="0.3">
      <c r="A1" t="s">
        <v>243</v>
      </c>
      <c r="B1" t="s">
        <v>244</v>
      </c>
    </row>
    <row r="2" spans="1:12" x14ac:dyDescent="0.3">
      <c r="A2" t="s">
        <v>245</v>
      </c>
      <c r="B2" t="s">
        <v>246</v>
      </c>
    </row>
    <row r="3" spans="1:12" x14ac:dyDescent="0.3">
      <c r="A3" t="s">
        <v>247</v>
      </c>
      <c r="B3" t="s">
        <v>248</v>
      </c>
      <c r="D3" s="1"/>
      <c r="H3" s="1"/>
    </row>
    <row r="4" spans="1:12" x14ac:dyDescent="0.3">
      <c r="A4" t="s">
        <v>249</v>
      </c>
      <c r="B4" t="s">
        <v>250</v>
      </c>
    </row>
    <row r="5" spans="1:12" x14ac:dyDescent="0.3">
      <c r="A5" t="s">
        <v>251</v>
      </c>
      <c r="B5" t="s">
        <v>252</v>
      </c>
    </row>
    <row r="6" spans="1:12" x14ac:dyDescent="0.3">
      <c r="A6" t="s">
        <v>253</v>
      </c>
      <c r="B6" t="s">
        <v>254</v>
      </c>
    </row>
    <row r="7" spans="1:12" x14ac:dyDescent="0.3">
      <c r="A7" t="s">
        <v>255</v>
      </c>
      <c r="B7">
        <v>1501</v>
      </c>
    </row>
    <row r="9" spans="1:12" x14ac:dyDescent="0.3">
      <c r="A9" t="s">
        <v>256</v>
      </c>
    </row>
    <row r="11" spans="1:12" x14ac:dyDescent="0.3">
      <c r="A11" t="s">
        <v>257</v>
      </c>
      <c r="B11" t="s">
        <v>245</v>
      </c>
      <c r="C11" t="s">
        <v>258</v>
      </c>
      <c r="D11" t="s">
        <v>259</v>
      </c>
      <c r="E11" t="s">
        <v>260</v>
      </c>
      <c r="F11" t="s">
        <v>261</v>
      </c>
      <c r="G11" t="s">
        <v>262</v>
      </c>
      <c r="H11" t="s">
        <v>263</v>
      </c>
      <c r="I11" t="s">
        <v>264</v>
      </c>
      <c r="J11" t="s">
        <v>265</v>
      </c>
      <c r="K11" t="s">
        <v>266</v>
      </c>
    </row>
    <row r="12" spans="1:12" x14ac:dyDescent="0.3">
      <c r="A12">
        <v>1</v>
      </c>
      <c r="B12" t="s">
        <v>67</v>
      </c>
      <c r="C12" t="s">
        <v>267</v>
      </c>
      <c r="D12">
        <v>2</v>
      </c>
      <c r="E12" s="1">
        <v>10000</v>
      </c>
      <c r="F12" s="1" t="s">
        <v>268</v>
      </c>
      <c r="G12" s="1" t="s">
        <v>268</v>
      </c>
      <c r="H12" s="1" t="s">
        <v>268</v>
      </c>
      <c r="I12" s="1">
        <v>4000</v>
      </c>
      <c r="J12" s="1" t="s">
        <v>268</v>
      </c>
      <c r="K12" s="1">
        <v>4000</v>
      </c>
      <c r="L12" s="1"/>
    </row>
    <row r="13" spans="1:12" x14ac:dyDescent="0.3">
      <c r="A13">
        <v>2</v>
      </c>
      <c r="B13" t="s">
        <v>269</v>
      </c>
      <c r="C13" t="s">
        <v>270</v>
      </c>
      <c r="D13">
        <v>2</v>
      </c>
      <c r="E13" s="1">
        <v>10000</v>
      </c>
      <c r="F13" s="1" t="s">
        <v>268</v>
      </c>
      <c r="G13" s="1" t="s">
        <v>268</v>
      </c>
      <c r="H13" t="s">
        <v>268</v>
      </c>
      <c r="I13" s="1">
        <v>4000</v>
      </c>
      <c r="J13" s="1" t="s">
        <v>268</v>
      </c>
      <c r="K13" s="1">
        <v>4000</v>
      </c>
      <c r="L13" s="1"/>
    </row>
    <row r="14" spans="1:12" x14ac:dyDescent="0.3">
      <c r="A14">
        <v>3</v>
      </c>
      <c r="B14" t="s">
        <v>31</v>
      </c>
      <c r="C14" t="s">
        <v>271</v>
      </c>
      <c r="D14">
        <v>1</v>
      </c>
      <c r="E14" s="1" t="s">
        <v>268</v>
      </c>
      <c r="F14" s="1" t="s">
        <v>268</v>
      </c>
      <c r="G14" s="1" t="s">
        <v>268</v>
      </c>
      <c r="H14" t="s">
        <v>268</v>
      </c>
      <c r="I14" s="1" t="s">
        <v>268</v>
      </c>
      <c r="J14" s="1" t="s">
        <v>268</v>
      </c>
      <c r="K14" s="1" t="s">
        <v>268</v>
      </c>
      <c r="L14" s="1"/>
    </row>
    <row r="15" spans="1:12" x14ac:dyDescent="0.3">
      <c r="A15">
        <v>4</v>
      </c>
      <c r="B15" t="s">
        <v>272</v>
      </c>
      <c r="C15" t="s">
        <v>273</v>
      </c>
      <c r="D15">
        <v>0</v>
      </c>
      <c r="E15" s="1" t="s">
        <v>268</v>
      </c>
      <c r="F15" s="1" t="s">
        <v>268</v>
      </c>
      <c r="G15" s="1" t="s">
        <v>268</v>
      </c>
      <c r="H15" t="s">
        <v>268</v>
      </c>
      <c r="I15" s="1" t="s">
        <v>268</v>
      </c>
      <c r="J15" s="1" t="s">
        <v>268</v>
      </c>
      <c r="K15" s="1" t="s">
        <v>268</v>
      </c>
      <c r="L15" s="1"/>
    </row>
    <row r="16" spans="1:12" x14ac:dyDescent="0.3">
      <c r="A16">
        <v>5</v>
      </c>
      <c r="B16" t="s">
        <v>274</v>
      </c>
      <c r="C16" t="s">
        <v>275</v>
      </c>
      <c r="D16">
        <v>2</v>
      </c>
      <c r="E16" s="1">
        <v>9100</v>
      </c>
      <c r="F16" s="1" t="s">
        <v>268</v>
      </c>
      <c r="G16" s="1" t="s">
        <v>268</v>
      </c>
      <c r="H16" t="s">
        <v>268</v>
      </c>
      <c r="I16" s="1">
        <v>2730</v>
      </c>
      <c r="J16" s="1" t="s">
        <v>268</v>
      </c>
      <c r="K16" s="1">
        <v>2730</v>
      </c>
      <c r="L16" s="1"/>
    </row>
    <row r="17" spans="1:21" x14ac:dyDescent="0.3">
      <c r="A17">
        <v>6</v>
      </c>
      <c r="B17" t="s">
        <v>276</v>
      </c>
      <c r="C17" t="s">
        <v>277</v>
      </c>
      <c r="D17">
        <v>1</v>
      </c>
      <c r="E17" s="1" t="s">
        <v>268</v>
      </c>
      <c r="F17" s="1" t="s">
        <v>268</v>
      </c>
      <c r="G17" s="1" t="s">
        <v>268</v>
      </c>
      <c r="H17" s="1" t="s">
        <v>268</v>
      </c>
      <c r="I17" s="1" t="s">
        <v>268</v>
      </c>
      <c r="J17" s="1" t="s">
        <v>268</v>
      </c>
      <c r="K17" s="1" t="s">
        <v>268</v>
      </c>
      <c r="M17" s="1"/>
      <c r="R17" s="1"/>
    </row>
    <row r="18" spans="1:21" x14ac:dyDescent="0.3">
      <c r="A18">
        <v>7</v>
      </c>
      <c r="B18" t="s">
        <v>45</v>
      </c>
      <c r="C18" t="s">
        <v>278</v>
      </c>
      <c r="D18">
        <v>2</v>
      </c>
      <c r="E18" s="1">
        <v>9800</v>
      </c>
      <c r="F18" s="1" t="s">
        <v>268</v>
      </c>
      <c r="G18" s="1" t="s">
        <v>268</v>
      </c>
      <c r="H18" s="1" t="s">
        <v>268</v>
      </c>
      <c r="I18" s="1">
        <v>2940</v>
      </c>
      <c r="J18" s="1" t="s">
        <v>268</v>
      </c>
      <c r="K18" s="1">
        <v>2940</v>
      </c>
      <c r="M18" s="1"/>
    </row>
    <row r="19" spans="1:21" x14ac:dyDescent="0.3">
      <c r="A19">
        <v>8</v>
      </c>
      <c r="B19" t="s">
        <v>279</v>
      </c>
      <c r="C19" t="s">
        <v>280</v>
      </c>
      <c r="D19">
        <v>2</v>
      </c>
      <c r="E19" s="1" t="s">
        <v>268</v>
      </c>
      <c r="F19" s="1" t="s">
        <v>268</v>
      </c>
      <c r="G19" s="1" t="s">
        <v>268</v>
      </c>
      <c r="H19" s="1" t="s">
        <v>268</v>
      </c>
      <c r="I19" s="1" t="s">
        <v>268</v>
      </c>
      <c r="J19" s="1" t="s">
        <v>268</v>
      </c>
      <c r="K19" s="1" t="s">
        <v>268</v>
      </c>
      <c r="M19" s="1"/>
      <c r="N19" s="1"/>
      <c r="R19" s="1"/>
    </row>
    <row r="20" spans="1:21" x14ac:dyDescent="0.3">
      <c r="E20" s="1"/>
      <c r="F20" s="1"/>
      <c r="G20" s="1"/>
      <c r="H20" s="1"/>
      <c r="I20" s="1"/>
      <c r="K20" s="1"/>
      <c r="L20" t="s">
        <v>281</v>
      </c>
      <c r="M20" s="1"/>
      <c r="N20" s="1"/>
      <c r="P20" t="s">
        <v>282</v>
      </c>
      <c r="R20" s="1"/>
    </row>
    <row r="21" spans="1:21" x14ac:dyDescent="0.3">
      <c r="E21" s="1"/>
      <c r="F21" s="1"/>
      <c r="G21" s="1"/>
      <c r="H21" s="1"/>
      <c r="I21" s="1"/>
      <c r="K21" s="1"/>
      <c r="L21" t="s">
        <v>283</v>
      </c>
      <c r="M21" s="1" t="s">
        <v>284</v>
      </c>
      <c r="N21" s="1" t="s">
        <v>285</v>
      </c>
      <c r="O21" s="1"/>
      <c r="P21" t="s">
        <v>286</v>
      </c>
      <c r="Q21" t="s">
        <v>287</v>
      </c>
      <c r="R21" s="1" t="s">
        <v>288</v>
      </c>
      <c r="S21" s="1"/>
    </row>
    <row r="22" spans="1:21" x14ac:dyDescent="0.3">
      <c r="A22" t="s">
        <v>289</v>
      </c>
      <c r="E22" s="1"/>
      <c r="F22" s="1"/>
      <c r="G22" s="1"/>
      <c r="H22" s="1"/>
      <c r="I22" s="1"/>
      <c r="K22" s="1"/>
      <c r="L22" t="s">
        <v>290</v>
      </c>
      <c r="M22" s="1" t="s">
        <v>291</v>
      </c>
      <c r="N22" s="1" t="s">
        <v>292</v>
      </c>
      <c r="P22" t="s">
        <v>293</v>
      </c>
      <c r="Q22" t="s">
        <v>294</v>
      </c>
      <c r="R22" s="1" t="s">
        <v>292</v>
      </c>
    </row>
    <row r="23" spans="1:21" x14ac:dyDescent="0.3">
      <c r="A23" t="s">
        <v>295</v>
      </c>
      <c r="E23" s="1"/>
      <c r="F23" s="1"/>
      <c r="G23" s="1"/>
      <c r="H23" s="1"/>
      <c r="I23" s="1"/>
      <c r="K23" s="1"/>
      <c r="L23" t="s">
        <v>296</v>
      </c>
      <c r="M23" s="1" t="s">
        <v>297</v>
      </c>
      <c r="N23" s="1" t="s">
        <v>290</v>
      </c>
      <c r="P23" t="s">
        <v>298</v>
      </c>
      <c r="Q23" t="s">
        <v>299</v>
      </c>
      <c r="R23" s="1" t="s">
        <v>300</v>
      </c>
      <c r="U23" s="1"/>
    </row>
    <row r="24" spans="1:21" x14ac:dyDescent="0.3">
      <c r="A24" t="s">
        <v>301</v>
      </c>
      <c r="E24" s="1"/>
      <c r="F24" s="1"/>
      <c r="G24" s="1"/>
      <c r="I24" s="1"/>
      <c r="K24" s="1"/>
      <c r="M24" t="s">
        <v>289</v>
      </c>
      <c r="N24" s="1">
        <v>2278</v>
      </c>
      <c r="Q24" t="s">
        <v>302</v>
      </c>
      <c r="R24" s="1">
        <v>6633</v>
      </c>
    </row>
    <row r="25" spans="1:21" x14ac:dyDescent="0.3">
      <c r="E25" s="1"/>
      <c r="F25" s="1"/>
      <c r="G25" s="1"/>
      <c r="I25" s="1"/>
      <c r="K25" s="1"/>
    </row>
    <row r="26" spans="1:21" x14ac:dyDescent="0.3">
      <c r="A26" t="s">
        <v>303</v>
      </c>
      <c r="E26" s="1"/>
      <c r="F26" s="1"/>
      <c r="G26" s="1"/>
      <c r="H26" s="1"/>
      <c r="I26" s="1"/>
      <c r="J26" s="1"/>
      <c r="K26" s="1"/>
      <c r="L26" s="1"/>
      <c r="N26" s="1"/>
      <c r="R26" s="1"/>
    </row>
    <row r="27" spans="1:21" x14ac:dyDescent="0.3">
      <c r="E27" s="1"/>
      <c r="F27" s="1"/>
      <c r="G27" s="1"/>
      <c r="I27" s="1"/>
      <c r="J27" s="1"/>
      <c r="K27" s="1"/>
      <c r="L27" s="1"/>
    </row>
    <row r="28" spans="1:21" x14ac:dyDescent="0.3">
      <c r="A28" t="s">
        <v>257</v>
      </c>
      <c r="B28" t="s">
        <v>245</v>
      </c>
      <c r="C28" t="s">
        <v>258</v>
      </c>
      <c r="D28" t="s">
        <v>259</v>
      </c>
      <c r="E28" s="1" t="s">
        <v>260</v>
      </c>
      <c r="F28" s="1" t="s">
        <v>261</v>
      </c>
      <c r="G28" s="1" t="s">
        <v>262</v>
      </c>
      <c r="H28" s="1" t="s">
        <v>263</v>
      </c>
      <c r="I28" s="1" t="s">
        <v>264</v>
      </c>
      <c r="J28" s="1" t="s">
        <v>265</v>
      </c>
      <c r="K28" s="1" t="s">
        <v>266</v>
      </c>
      <c r="L28" s="1"/>
      <c r="N28" s="1"/>
      <c r="P28" s="1"/>
      <c r="R28" s="1"/>
      <c r="T28" s="1"/>
    </row>
    <row r="29" spans="1:21" x14ac:dyDescent="0.3">
      <c r="A29">
        <v>1</v>
      </c>
      <c r="B29" t="s">
        <v>304</v>
      </c>
      <c r="C29" t="s">
        <v>305</v>
      </c>
      <c r="D29">
        <v>0</v>
      </c>
      <c r="E29" s="1" t="s">
        <v>268</v>
      </c>
      <c r="F29" s="1" t="s">
        <v>268</v>
      </c>
      <c r="G29" s="1" t="s">
        <v>268</v>
      </c>
      <c r="H29" s="1" t="s">
        <v>268</v>
      </c>
      <c r="I29" s="1" t="s">
        <v>268</v>
      </c>
      <c r="J29" s="1" t="s">
        <v>268</v>
      </c>
      <c r="K29" s="1" t="s">
        <v>268</v>
      </c>
      <c r="L29" s="1"/>
      <c r="N29" s="1"/>
    </row>
    <row r="30" spans="1:21" x14ac:dyDescent="0.3">
      <c r="E30" s="1"/>
      <c r="F30" s="1"/>
      <c r="G30" s="1"/>
      <c r="H30" s="1"/>
      <c r="I30" s="1"/>
      <c r="J30" s="1"/>
      <c r="K30" s="1"/>
      <c r="L30" s="1" t="s">
        <v>281</v>
      </c>
      <c r="N30" s="1"/>
      <c r="P30" t="s">
        <v>282</v>
      </c>
    </row>
    <row r="31" spans="1:21" x14ac:dyDescent="0.3">
      <c r="E31" s="1"/>
      <c r="F31" s="1"/>
      <c r="G31" s="1"/>
      <c r="H31" s="1"/>
      <c r="I31" s="1"/>
      <c r="K31" s="1"/>
      <c r="L31" s="1" t="s">
        <v>283</v>
      </c>
      <c r="M31" t="s">
        <v>284</v>
      </c>
      <c r="N31" s="1" t="s">
        <v>285</v>
      </c>
      <c r="P31" t="s">
        <v>286</v>
      </c>
      <c r="Q31" t="s">
        <v>287</v>
      </c>
      <c r="R31" s="1" t="s">
        <v>288</v>
      </c>
    </row>
    <row r="32" spans="1:21" x14ac:dyDescent="0.3">
      <c r="A32" t="s">
        <v>289</v>
      </c>
      <c r="E32" s="1"/>
      <c r="F32" s="1"/>
      <c r="G32" s="1"/>
      <c r="H32" s="1"/>
      <c r="I32" s="1"/>
      <c r="K32" s="1"/>
      <c r="L32" s="1" t="s">
        <v>306</v>
      </c>
      <c r="M32" t="s">
        <v>292</v>
      </c>
      <c r="N32" s="1" t="s">
        <v>306</v>
      </c>
      <c r="P32" t="s">
        <v>292</v>
      </c>
      <c r="Q32" t="s">
        <v>292</v>
      </c>
      <c r="R32" t="s">
        <v>292</v>
      </c>
    </row>
    <row r="33" spans="1:21" x14ac:dyDescent="0.3">
      <c r="A33" t="s">
        <v>295</v>
      </c>
      <c r="E33" s="1"/>
      <c r="F33" s="1"/>
      <c r="G33" s="1"/>
      <c r="H33" s="1"/>
      <c r="I33" s="1"/>
      <c r="K33" s="1"/>
      <c r="L33" s="1" t="s">
        <v>307</v>
      </c>
      <c r="M33" s="1" t="s">
        <v>308</v>
      </c>
      <c r="N33" s="1" t="s">
        <v>290</v>
      </c>
      <c r="P33" t="s">
        <v>309</v>
      </c>
      <c r="Q33" t="s">
        <v>310</v>
      </c>
      <c r="R33" s="1" t="s">
        <v>300</v>
      </c>
    </row>
    <row r="34" spans="1:21" x14ac:dyDescent="0.3">
      <c r="A34" t="s">
        <v>301</v>
      </c>
      <c r="E34" s="1"/>
      <c r="F34" s="1"/>
      <c r="G34" s="1"/>
      <c r="H34" s="1"/>
      <c r="I34" s="1"/>
      <c r="K34" s="1"/>
      <c r="L34" s="1"/>
      <c r="M34" s="1" t="s">
        <v>289</v>
      </c>
      <c r="N34" s="1" t="s">
        <v>268</v>
      </c>
      <c r="Q34" t="s">
        <v>302</v>
      </c>
      <c r="R34" s="1">
        <v>7401</v>
      </c>
    </row>
    <row r="35" spans="1:21" x14ac:dyDescent="0.3"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R35" s="1"/>
      <c r="S35" s="1"/>
    </row>
    <row r="36" spans="1:21" x14ac:dyDescent="0.3">
      <c r="A36" t="s">
        <v>311</v>
      </c>
      <c r="E36" s="1"/>
      <c r="F36" s="1"/>
      <c r="G36" s="1"/>
      <c r="H36" s="1"/>
      <c r="I36" s="1"/>
      <c r="K36" s="1"/>
      <c r="M36" s="1"/>
    </row>
    <row r="37" spans="1:21" x14ac:dyDescent="0.3">
      <c r="E37" s="1"/>
      <c r="F37" s="1"/>
      <c r="G37" s="1"/>
      <c r="I37" s="1"/>
      <c r="K37" s="1"/>
      <c r="M37" s="1"/>
    </row>
    <row r="38" spans="1:21" x14ac:dyDescent="0.3">
      <c r="A38" t="s">
        <v>257</v>
      </c>
      <c r="B38" t="s">
        <v>245</v>
      </c>
      <c r="C38" t="s">
        <v>258</v>
      </c>
      <c r="D38" t="s">
        <v>259</v>
      </c>
      <c r="E38" s="1" t="s">
        <v>260</v>
      </c>
      <c r="F38" s="1" t="s">
        <v>261</v>
      </c>
      <c r="G38" s="1" t="s">
        <v>262</v>
      </c>
      <c r="H38" t="s">
        <v>263</v>
      </c>
      <c r="I38" s="1" t="s">
        <v>264</v>
      </c>
      <c r="J38" t="s">
        <v>265</v>
      </c>
      <c r="K38" s="1" t="s">
        <v>266</v>
      </c>
      <c r="M38" s="1"/>
      <c r="N38" s="1"/>
      <c r="R38" s="1"/>
    </row>
    <row r="39" spans="1:21" x14ac:dyDescent="0.3">
      <c r="A39">
        <v>1</v>
      </c>
      <c r="B39" t="s">
        <v>64</v>
      </c>
      <c r="C39" t="s">
        <v>202</v>
      </c>
      <c r="D39">
        <v>2</v>
      </c>
      <c r="E39" s="1" t="s">
        <v>268</v>
      </c>
      <c r="F39" s="1" t="s">
        <v>268</v>
      </c>
      <c r="G39" s="1" t="s">
        <v>268</v>
      </c>
      <c r="H39" t="s">
        <v>268</v>
      </c>
      <c r="I39" s="1" t="s">
        <v>268</v>
      </c>
      <c r="J39" t="s">
        <v>268</v>
      </c>
      <c r="K39" s="1" t="s">
        <v>268</v>
      </c>
      <c r="M39" s="1"/>
      <c r="N39" s="1"/>
      <c r="R39" s="1"/>
    </row>
    <row r="40" spans="1:21" x14ac:dyDescent="0.3">
      <c r="E40" s="1"/>
      <c r="F40" s="1"/>
      <c r="G40" s="1"/>
      <c r="I40" s="1"/>
      <c r="J40" s="1"/>
      <c r="K40" s="1"/>
      <c r="L40" s="1" t="s">
        <v>281</v>
      </c>
      <c r="M40" s="1"/>
      <c r="N40" s="1"/>
      <c r="P40" t="s">
        <v>282</v>
      </c>
      <c r="Q40" s="1"/>
      <c r="R40" s="1"/>
      <c r="U40" s="1"/>
    </row>
    <row r="41" spans="1:21" x14ac:dyDescent="0.3">
      <c r="E41" s="1"/>
      <c r="F41" s="1"/>
      <c r="G41" s="1"/>
      <c r="I41" s="1"/>
      <c r="J41" s="1"/>
      <c r="K41" s="1"/>
      <c r="L41" s="1" t="s">
        <v>283</v>
      </c>
      <c r="M41" s="1" t="s">
        <v>284</v>
      </c>
      <c r="N41" s="1" t="s">
        <v>285</v>
      </c>
      <c r="P41" t="s">
        <v>286</v>
      </c>
      <c r="Q41" t="s">
        <v>287</v>
      </c>
      <c r="R41" s="1" t="s">
        <v>288</v>
      </c>
    </row>
    <row r="42" spans="1:21" x14ac:dyDescent="0.3">
      <c r="A42" t="s">
        <v>289</v>
      </c>
      <c r="E42" s="1"/>
      <c r="F42" s="1"/>
      <c r="G42" s="1"/>
      <c r="I42" s="1"/>
      <c r="J42" s="1"/>
      <c r="K42" s="1"/>
      <c r="L42" s="1" t="s">
        <v>306</v>
      </c>
      <c r="M42" s="1" t="s">
        <v>292</v>
      </c>
      <c r="N42" s="1" t="s">
        <v>306</v>
      </c>
      <c r="P42" t="s">
        <v>312</v>
      </c>
      <c r="Q42" t="s">
        <v>292</v>
      </c>
      <c r="R42" s="1" t="s">
        <v>312</v>
      </c>
    </row>
    <row r="43" spans="1:21" x14ac:dyDescent="0.3">
      <c r="A43" t="s">
        <v>295</v>
      </c>
      <c r="E43" s="1"/>
      <c r="F43" s="1"/>
      <c r="G43" s="1"/>
      <c r="H43" s="1"/>
      <c r="I43" s="1"/>
      <c r="J43" s="1"/>
      <c r="K43" s="1"/>
      <c r="L43" s="1" t="s">
        <v>313</v>
      </c>
      <c r="M43" t="s">
        <v>308</v>
      </c>
      <c r="N43" s="1" t="s">
        <v>314</v>
      </c>
      <c r="P43" t="s">
        <v>309</v>
      </c>
      <c r="Q43" t="s">
        <v>310</v>
      </c>
      <c r="R43" s="1" t="s">
        <v>300</v>
      </c>
    </row>
    <row r="44" spans="1:21" x14ac:dyDescent="0.3">
      <c r="A44" t="s">
        <v>301</v>
      </c>
      <c r="E44" s="1"/>
      <c r="F44" s="1"/>
      <c r="G44" s="1"/>
      <c r="H44" s="1"/>
      <c r="I44" s="1"/>
      <c r="J44" s="1"/>
      <c r="K44" s="1"/>
      <c r="L44" s="1"/>
      <c r="M44" t="s">
        <v>289</v>
      </c>
      <c r="N44" s="1" t="s">
        <v>268</v>
      </c>
      <c r="Q44" t="s">
        <v>302</v>
      </c>
      <c r="R44" s="1">
        <v>7401</v>
      </c>
    </row>
    <row r="45" spans="1:21" x14ac:dyDescent="0.3">
      <c r="E45" s="1"/>
      <c r="F45" s="1"/>
      <c r="G45" s="1"/>
      <c r="I45" s="1"/>
      <c r="J45" s="1"/>
      <c r="K45" s="1"/>
      <c r="L45" s="1"/>
    </row>
    <row r="46" spans="1:21" x14ac:dyDescent="0.3">
      <c r="A46" t="s">
        <v>315</v>
      </c>
      <c r="E46" s="1"/>
      <c r="F46" s="1"/>
      <c r="G46" s="1"/>
      <c r="I46" s="1"/>
      <c r="K46" s="1"/>
    </row>
    <row r="47" spans="1:21" x14ac:dyDescent="0.3">
      <c r="E47" s="1"/>
      <c r="F47" s="1"/>
      <c r="G47" s="1"/>
      <c r="I47" s="1"/>
      <c r="K47" s="1"/>
      <c r="N47" s="1"/>
      <c r="P47" s="1"/>
      <c r="R47" s="1"/>
      <c r="T47" s="1"/>
    </row>
    <row r="48" spans="1:21" x14ac:dyDescent="0.3">
      <c r="A48" t="s">
        <v>257</v>
      </c>
      <c r="B48" t="s">
        <v>245</v>
      </c>
      <c r="C48" t="s">
        <v>258</v>
      </c>
      <c r="D48" t="s">
        <v>259</v>
      </c>
      <c r="E48" s="1" t="s">
        <v>260</v>
      </c>
      <c r="F48" s="1" t="s">
        <v>261</v>
      </c>
      <c r="G48" s="1" t="s">
        <v>262</v>
      </c>
      <c r="H48" t="s">
        <v>263</v>
      </c>
      <c r="I48" s="1" t="s">
        <v>264</v>
      </c>
      <c r="J48" s="1" t="s">
        <v>265</v>
      </c>
      <c r="K48" s="1" t="s">
        <v>266</v>
      </c>
      <c r="N48" s="1"/>
      <c r="R48" s="1"/>
    </row>
    <row r="49" spans="1:20" x14ac:dyDescent="0.3">
      <c r="A49">
        <v>1</v>
      </c>
      <c r="B49" t="s">
        <v>316</v>
      </c>
      <c r="C49" t="s">
        <v>317</v>
      </c>
      <c r="D49">
        <v>1</v>
      </c>
      <c r="E49" s="1" t="s">
        <v>268</v>
      </c>
      <c r="F49" s="1" t="s">
        <v>268</v>
      </c>
      <c r="G49" s="1" t="s">
        <v>268</v>
      </c>
      <c r="H49" t="s">
        <v>268</v>
      </c>
      <c r="I49" s="1" t="s">
        <v>268</v>
      </c>
      <c r="J49" s="1" t="s">
        <v>268</v>
      </c>
      <c r="K49" s="1" t="s">
        <v>268</v>
      </c>
      <c r="N49" s="1"/>
      <c r="R49" s="1"/>
    </row>
    <row r="50" spans="1:20" x14ac:dyDescent="0.3">
      <c r="A50">
        <v>2</v>
      </c>
      <c r="B50" t="s">
        <v>318</v>
      </c>
      <c r="C50" t="s">
        <v>319</v>
      </c>
      <c r="D50">
        <v>1</v>
      </c>
      <c r="E50" s="1" t="s">
        <v>268</v>
      </c>
      <c r="F50" s="1" t="s">
        <v>268</v>
      </c>
      <c r="G50" s="1" t="s">
        <v>268</v>
      </c>
      <c r="H50" t="s">
        <v>268</v>
      </c>
      <c r="I50" s="1" t="s">
        <v>268</v>
      </c>
      <c r="J50" t="s">
        <v>268</v>
      </c>
      <c r="K50" s="1" t="s">
        <v>268</v>
      </c>
      <c r="N50" s="1"/>
      <c r="O50" s="1"/>
      <c r="R50" s="1"/>
      <c r="S50" s="1"/>
    </row>
    <row r="51" spans="1:20" x14ac:dyDescent="0.3">
      <c r="E51" s="1"/>
      <c r="F51" s="1"/>
      <c r="G51" s="1"/>
      <c r="I51" s="1"/>
      <c r="J51" s="1"/>
      <c r="K51" s="1"/>
      <c r="L51" t="s">
        <v>281</v>
      </c>
      <c r="N51" s="1"/>
      <c r="P51" t="s">
        <v>282</v>
      </c>
      <c r="R51" s="1"/>
    </row>
    <row r="52" spans="1:20" x14ac:dyDescent="0.3">
      <c r="E52" s="1"/>
      <c r="F52" s="1"/>
      <c r="G52" s="1"/>
      <c r="H52" s="1"/>
      <c r="I52" s="1"/>
      <c r="J52" s="1"/>
      <c r="K52" s="1"/>
      <c r="L52" t="s">
        <v>283</v>
      </c>
      <c r="M52" s="1" t="s">
        <v>284</v>
      </c>
      <c r="N52" t="s">
        <v>285</v>
      </c>
      <c r="P52" t="s">
        <v>286</v>
      </c>
      <c r="Q52" t="s">
        <v>287</v>
      </c>
      <c r="R52" t="s">
        <v>288</v>
      </c>
    </row>
    <row r="53" spans="1:20" x14ac:dyDescent="0.3">
      <c r="A53" t="s">
        <v>289</v>
      </c>
      <c r="E53" s="1"/>
      <c r="F53" s="1"/>
      <c r="G53" s="1"/>
      <c r="H53" s="1"/>
      <c r="I53" s="1"/>
      <c r="K53" s="1"/>
      <c r="L53" t="s">
        <v>312</v>
      </c>
      <c r="M53" s="1" t="s">
        <v>312</v>
      </c>
      <c r="N53" s="1" t="s">
        <v>292</v>
      </c>
      <c r="P53" t="s">
        <v>312</v>
      </c>
      <c r="Q53" t="s">
        <v>312</v>
      </c>
      <c r="R53" s="1" t="s">
        <v>292</v>
      </c>
    </row>
    <row r="54" spans="1:20" x14ac:dyDescent="0.3">
      <c r="A54" t="s">
        <v>295</v>
      </c>
      <c r="E54" s="1"/>
      <c r="F54" s="1"/>
      <c r="G54" s="1"/>
      <c r="H54" s="1"/>
      <c r="I54" s="1"/>
      <c r="K54" s="1"/>
      <c r="L54" s="1" t="s">
        <v>320</v>
      </c>
      <c r="M54" s="1" t="s">
        <v>308</v>
      </c>
      <c r="N54" s="1" t="s">
        <v>321</v>
      </c>
      <c r="P54" t="s">
        <v>322</v>
      </c>
      <c r="Q54" t="s">
        <v>310</v>
      </c>
      <c r="R54" s="1" t="s">
        <v>323</v>
      </c>
    </row>
    <row r="55" spans="1:20" x14ac:dyDescent="0.3">
      <c r="A55" t="s">
        <v>301</v>
      </c>
      <c r="E55" s="1"/>
      <c r="F55" s="1"/>
      <c r="G55" s="1"/>
      <c r="H55" s="1"/>
      <c r="I55" s="1"/>
      <c r="J55" s="1"/>
      <c r="K55" s="1"/>
      <c r="L55" s="1"/>
      <c r="M55" s="1" t="s">
        <v>289</v>
      </c>
      <c r="N55" t="s">
        <v>268</v>
      </c>
      <c r="Q55" t="s">
        <v>302</v>
      </c>
      <c r="R55" s="1">
        <v>7626</v>
      </c>
    </row>
    <row r="56" spans="1:20" x14ac:dyDescent="0.3">
      <c r="E56" s="1"/>
      <c r="F56" s="1"/>
      <c r="G56" s="1"/>
      <c r="H56" s="1"/>
      <c r="I56" s="1"/>
      <c r="J56" s="1"/>
      <c r="K56" s="1"/>
      <c r="L56" s="1"/>
      <c r="M56" s="1"/>
    </row>
    <row r="57" spans="1:20" x14ac:dyDescent="0.3">
      <c r="A57" t="s">
        <v>324</v>
      </c>
      <c r="E57" s="1"/>
      <c r="F57" s="1"/>
      <c r="G57" s="1"/>
      <c r="H57" s="1"/>
      <c r="I57" s="1"/>
      <c r="J57" s="1"/>
      <c r="K57" s="1"/>
      <c r="L57" s="1"/>
      <c r="M57" s="1"/>
      <c r="N57" s="1"/>
      <c r="R57" s="1"/>
    </row>
    <row r="58" spans="1:20" x14ac:dyDescent="0.3">
      <c r="E58" s="1"/>
      <c r="F58" s="1"/>
      <c r="G58" s="1"/>
      <c r="H58" s="1"/>
      <c r="I58" s="1"/>
      <c r="J58" s="1"/>
      <c r="K58" s="1"/>
      <c r="L58" s="1"/>
      <c r="M58" s="1"/>
      <c r="N58" s="1"/>
      <c r="R58" s="1"/>
    </row>
    <row r="59" spans="1:20" x14ac:dyDescent="0.3">
      <c r="A59" t="s">
        <v>257</v>
      </c>
      <c r="B59" t="s">
        <v>245</v>
      </c>
      <c r="C59" t="s">
        <v>258</v>
      </c>
      <c r="D59" t="s">
        <v>259</v>
      </c>
      <c r="E59" s="1" t="s">
        <v>260</v>
      </c>
      <c r="F59" s="1" t="s">
        <v>261</v>
      </c>
      <c r="G59" s="1" t="s">
        <v>262</v>
      </c>
      <c r="H59" s="1" t="s">
        <v>263</v>
      </c>
      <c r="I59" s="1" t="s">
        <v>264</v>
      </c>
      <c r="J59" s="1" t="s">
        <v>265</v>
      </c>
      <c r="K59" s="1" t="s">
        <v>266</v>
      </c>
      <c r="L59" s="1"/>
      <c r="M59" s="1"/>
      <c r="N59" s="1"/>
      <c r="R59" s="1"/>
    </row>
    <row r="60" spans="1:20" x14ac:dyDescent="0.3">
      <c r="A60">
        <v>1</v>
      </c>
      <c r="B60" t="s">
        <v>63</v>
      </c>
      <c r="C60" t="s">
        <v>238</v>
      </c>
      <c r="D60">
        <v>2</v>
      </c>
      <c r="E60" s="1" t="s">
        <v>268</v>
      </c>
      <c r="F60" s="1" t="s">
        <v>268</v>
      </c>
      <c r="G60" s="1" t="s">
        <v>268</v>
      </c>
      <c r="H60" t="s">
        <v>268</v>
      </c>
      <c r="I60" s="1" t="s">
        <v>268</v>
      </c>
      <c r="J60" s="1" t="s">
        <v>268</v>
      </c>
      <c r="K60" s="1" t="s">
        <v>268</v>
      </c>
      <c r="L60" s="1"/>
      <c r="N60" s="1"/>
      <c r="R60" s="1"/>
    </row>
    <row r="61" spans="1:20" x14ac:dyDescent="0.3">
      <c r="E61" s="1"/>
      <c r="F61" s="1"/>
      <c r="G61" s="1"/>
      <c r="I61" s="1"/>
      <c r="J61" s="1"/>
      <c r="K61" s="1"/>
      <c r="L61" s="1" t="s">
        <v>281</v>
      </c>
      <c r="N61" s="1"/>
      <c r="P61" t="s">
        <v>282</v>
      </c>
      <c r="R61" s="1"/>
    </row>
    <row r="62" spans="1:20" x14ac:dyDescent="0.3">
      <c r="E62" s="1"/>
      <c r="F62" s="1"/>
      <c r="G62" s="1"/>
      <c r="I62" s="1"/>
      <c r="K62" s="1"/>
      <c r="L62" t="s">
        <v>283</v>
      </c>
      <c r="M62" t="s">
        <v>284</v>
      </c>
      <c r="N62" s="1" t="s">
        <v>285</v>
      </c>
      <c r="P62" t="s">
        <v>286</v>
      </c>
      <c r="Q62" t="s">
        <v>287</v>
      </c>
      <c r="R62" s="1" t="s">
        <v>288</v>
      </c>
    </row>
    <row r="63" spans="1:20" x14ac:dyDescent="0.3">
      <c r="A63" t="s">
        <v>289</v>
      </c>
      <c r="E63" s="1"/>
      <c r="F63" s="1"/>
      <c r="G63" s="1"/>
      <c r="I63" s="1"/>
      <c r="K63" s="1"/>
      <c r="L63" t="s">
        <v>306</v>
      </c>
      <c r="M63" t="s">
        <v>292</v>
      </c>
      <c r="N63" t="s">
        <v>306</v>
      </c>
      <c r="P63" t="s">
        <v>312</v>
      </c>
      <c r="Q63" t="s">
        <v>292</v>
      </c>
      <c r="R63" t="s">
        <v>312</v>
      </c>
    </row>
    <row r="64" spans="1:20" x14ac:dyDescent="0.3">
      <c r="A64" t="s">
        <v>295</v>
      </c>
      <c r="E64" s="1"/>
      <c r="F64" s="1"/>
      <c r="G64" s="1"/>
      <c r="I64" s="1"/>
      <c r="J64" s="1"/>
      <c r="K64" s="1"/>
      <c r="L64" t="s">
        <v>325</v>
      </c>
      <c r="M64" t="s">
        <v>326</v>
      </c>
      <c r="N64" s="1" t="s">
        <v>321</v>
      </c>
      <c r="P64" s="1" t="s">
        <v>327</v>
      </c>
      <c r="Q64" t="s">
        <v>328</v>
      </c>
      <c r="R64" s="1" t="s">
        <v>323</v>
      </c>
      <c r="T64" s="1"/>
    </row>
    <row r="65" spans="1:20" x14ac:dyDescent="0.3">
      <c r="A65" t="s">
        <v>301</v>
      </c>
      <c r="E65" s="1"/>
      <c r="F65" s="1"/>
      <c r="G65" s="1"/>
      <c r="I65" s="1"/>
      <c r="J65" s="1"/>
      <c r="K65" s="1"/>
      <c r="M65" t="s">
        <v>289</v>
      </c>
      <c r="N65" s="1" t="s">
        <v>268</v>
      </c>
      <c r="Q65" t="s">
        <v>302</v>
      </c>
      <c r="R65" s="1">
        <v>7864</v>
      </c>
    </row>
    <row r="66" spans="1:20" x14ac:dyDescent="0.3">
      <c r="E66" s="1"/>
      <c r="F66" s="1"/>
      <c r="G66" s="1"/>
      <c r="I66" s="1"/>
      <c r="K66" s="1"/>
      <c r="N66" s="1"/>
      <c r="O66" s="1"/>
      <c r="R66" s="1"/>
      <c r="S66" s="1"/>
    </row>
    <row r="67" spans="1:20" x14ac:dyDescent="0.3">
      <c r="A67" t="s">
        <v>329</v>
      </c>
      <c r="E67" s="1"/>
      <c r="F67" s="1"/>
      <c r="G67" s="1"/>
      <c r="I67" s="1"/>
      <c r="K67" s="1"/>
    </row>
    <row r="68" spans="1:20" x14ac:dyDescent="0.3">
      <c r="E68" s="1"/>
      <c r="F68" s="1"/>
      <c r="G68" s="1"/>
      <c r="I68" s="1"/>
      <c r="K68" s="1"/>
      <c r="N68" s="1"/>
      <c r="R68" s="1"/>
    </row>
    <row r="69" spans="1:20" x14ac:dyDescent="0.3">
      <c r="A69" t="s">
        <v>257</v>
      </c>
      <c r="B69" t="s">
        <v>245</v>
      </c>
      <c r="C69" t="s">
        <v>258</v>
      </c>
      <c r="D69" t="s">
        <v>259</v>
      </c>
      <c r="E69" s="1" t="s">
        <v>260</v>
      </c>
      <c r="F69" s="1" t="s">
        <v>261</v>
      </c>
      <c r="G69" s="1" t="s">
        <v>262</v>
      </c>
      <c r="H69" s="1" t="s">
        <v>263</v>
      </c>
      <c r="I69" s="1" t="s">
        <v>264</v>
      </c>
      <c r="J69" t="s">
        <v>265</v>
      </c>
      <c r="K69" s="1" t="s">
        <v>266</v>
      </c>
      <c r="M69" s="1"/>
    </row>
    <row r="70" spans="1:20" x14ac:dyDescent="0.3">
      <c r="A70">
        <v>1</v>
      </c>
      <c r="B70" t="s">
        <v>75</v>
      </c>
      <c r="C70" t="s">
        <v>330</v>
      </c>
      <c r="D70">
        <v>1</v>
      </c>
      <c r="E70" s="1" t="s">
        <v>268</v>
      </c>
      <c r="F70" s="1" t="s">
        <v>268</v>
      </c>
      <c r="G70" s="1" t="s">
        <v>268</v>
      </c>
      <c r="H70" s="1" t="s">
        <v>268</v>
      </c>
      <c r="I70" s="1" t="s">
        <v>268</v>
      </c>
      <c r="J70" t="s">
        <v>268</v>
      </c>
      <c r="K70" s="1" t="s">
        <v>268</v>
      </c>
      <c r="M70" s="1"/>
      <c r="N70" s="1"/>
      <c r="R70" s="1"/>
    </row>
    <row r="71" spans="1:20" x14ac:dyDescent="0.3">
      <c r="A71">
        <v>2</v>
      </c>
      <c r="B71" t="s">
        <v>62</v>
      </c>
      <c r="C71" t="s">
        <v>236</v>
      </c>
      <c r="D71">
        <v>2</v>
      </c>
      <c r="E71" s="1" t="s">
        <v>268</v>
      </c>
      <c r="F71" s="1" t="s">
        <v>268</v>
      </c>
      <c r="G71" s="1" t="s">
        <v>268</v>
      </c>
      <c r="H71" s="1" t="s">
        <v>268</v>
      </c>
      <c r="I71" s="1" t="s">
        <v>268</v>
      </c>
      <c r="J71" t="s">
        <v>268</v>
      </c>
      <c r="K71" s="1" t="s">
        <v>268</v>
      </c>
      <c r="M71" s="1"/>
      <c r="N71" s="1"/>
      <c r="R71" s="1"/>
    </row>
    <row r="72" spans="1:20" x14ac:dyDescent="0.3">
      <c r="A72">
        <v>3</v>
      </c>
      <c r="B72" t="s">
        <v>32</v>
      </c>
      <c r="C72" t="s">
        <v>271</v>
      </c>
      <c r="D72">
        <v>1</v>
      </c>
      <c r="E72" s="1" t="s">
        <v>268</v>
      </c>
      <c r="F72" s="1" t="s">
        <v>268</v>
      </c>
      <c r="G72" s="1" t="s">
        <v>268</v>
      </c>
      <c r="H72" s="1" t="s">
        <v>268</v>
      </c>
      <c r="I72" s="1" t="s">
        <v>268</v>
      </c>
      <c r="J72" s="1" t="s">
        <v>268</v>
      </c>
      <c r="K72" s="1" t="s">
        <v>268</v>
      </c>
      <c r="M72" s="1"/>
    </row>
    <row r="73" spans="1:20" x14ac:dyDescent="0.3">
      <c r="A73">
        <v>4</v>
      </c>
      <c r="B73" t="s">
        <v>272</v>
      </c>
      <c r="C73" t="s">
        <v>273</v>
      </c>
      <c r="D73">
        <v>0</v>
      </c>
      <c r="E73" s="1" t="s">
        <v>268</v>
      </c>
      <c r="F73" s="1" t="s">
        <v>268</v>
      </c>
      <c r="G73" s="1" t="s">
        <v>268</v>
      </c>
      <c r="H73" s="1" t="s">
        <v>268</v>
      </c>
      <c r="I73" s="1" t="s">
        <v>268</v>
      </c>
      <c r="J73" t="s">
        <v>268</v>
      </c>
      <c r="K73" s="1" t="s">
        <v>268</v>
      </c>
      <c r="M73" s="1"/>
      <c r="N73" s="1"/>
      <c r="R73" s="1"/>
    </row>
    <row r="74" spans="1:20" x14ac:dyDescent="0.3">
      <c r="A74">
        <v>5</v>
      </c>
      <c r="B74" t="s">
        <v>331</v>
      </c>
      <c r="C74" t="s">
        <v>332</v>
      </c>
      <c r="D74">
        <v>1</v>
      </c>
      <c r="E74" s="1" t="s">
        <v>268</v>
      </c>
      <c r="F74" s="1" t="s">
        <v>268</v>
      </c>
      <c r="G74" s="1" t="s">
        <v>268</v>
      </c>
      <c r="H74" s="1" t="s">
        <v>268</v>
      </c>
      <c r="I74" s="1" t="s">
        <v>268</v>
      </c>
      <c r="J74" t="s">
        <v>268</v>
      </c>
      <c r="K74" s="1" t="s">
        <v>268</v>
      </c>
      <c r="M74" s="1"/>
      <c r="N74" s="1"/>
      <c r="R74" s="1"/>
    </row>
    <row r="75" spans="1:20" x14ac:dyDescent="0.3">
      <c r="A75">
        <v>6</v>
      </c>
      <c r="B75" t="s">
        <v>333</v>
      </c>
      <c r="C75" t="s">
        <v>334</v>
      </c>
      <c r="D75">
        <v>2</v>
      </c>
      <c r="E75" s="1" t="s">
        <v>268</v>
      </c>
      <c r="F75" s="1" t="s">
        <v>268</v>
      </c>
      <c r="G75" s="1" t="s">
        <v>268</v>
      </c>
      <c r="H75" s="1" t="s">
        <v>268</v>
      </c>
      <c r="I75" s="1" t="s">
        <v>268</v>
      </c>
      <c r="J75" t="s">
        <v>268</v>
      </c>
      <c r="K75" s="1" t="s">
        <v>268</v>
      </c>
      <c r="M75" s="1"/>
      <c r="N75" s="1"/>
      <c r="R75" s="1"/>
    </row>
    <row r="76" spans="1:20" x14ac:dyDescent="0.3">
      <c r="E76" s="1"/>
      <c r="F76" s="1"/>
      <c r="G76" s="1"/>
      <c r="I76" s="1"/>
      <c r="K76" s="1"/>
      <c r="L76" t="s">
        <v>281</v>
      </c>
      <c r="N76" s="1"/>
      <c r="P76" t="s">
        <v>282</v>
      </c>
      <c r="R76" s="1"/>
    </row>
    <row r="77" spans="1:20" x14ac:dyDescent="0.3">
      <c r="E77" s="1"/>
      <c r="F77" s="1"/>
      <c r="G77" s="1"/>
      <c r="I77" s="1"/>
      <c r="K77" s="1"/>
      <c r="L77" t="s">
        <v>283</v>
      </c>
      <c r="M77" t="s">
        <v>284</v>
      </c>
      <c r="N77" s="1" t="s">
        <v>285</v>
      </c>
      <c r="P77" t="s">
        <v>286</v>
      </c>
      <c r="Q77" t="s">
        <v>287</v>
      </c>
      <c r="R77" s="1" t="s">
        <v>288</v>
      </c>
    </row>
    <row r="78" spans="1:20" x14ac:dyDescent="0.3">
      <c r="A78" t="s">
        <v>289</v>
      </c>
      <c r="E78" s="1"/>
      <c r="F78" s="1"/>
      <c r="G78" s="1"/>
      <c r="I78" s="1"/>
      <c r="K78" s="1"/>
      <c r="L78" t="s">
        <v>321</v>
      </c>
      <c r="M78" t="s">
        <v>312</v>
      </c>
      <c r="N78" t="s">
        <v>294</v>
      </c>
      <c r="P78" t="s">
        <v>314</v>
      </c>
      <c r="Q78" t="s">
        <v>306</v>
      </c>
      <c r="R78" t="s">
        <v>321</v>
      </c>
    </row>
    <row r="79" spans="1:20" x14ac:dyDescent="0.3">
      <c r="A79" t="s">
        <v>295</v>
      </c>
      <c r="E79" s="1"/>
      <c r="F79" s="1"/>
      <c r="G79" s="1"/>
      <c r="I79" s="1"/>
      <c r="J79" s="1"/>
      <c r="K79" s="1"/>
      <c r="L79" t="s">
        <v>297</v>
      </c>
      <c r="M79" t="s">
        <v>326</v>
      </c>
      <c r="N79" t="s">
        <v>335</v>
      </c>
      <c r="P79" t="s">
        <v>336</v>
      </c>
      <c r="Q79" t="s">
        <v>328</v>
      </c>
      <c r="R79" t="s">
        <v>314</v>
      </c>
    </row>
    <row r="80" spans="1:20" x14ac:dyDescent="0.3">
      <c r="A80" t="s">
        <v>301</v>
      </c>
      <c r="E80" s="1"/>
      <c r="F80" s="1"/>
      <c r="G80" s="1"/>
      <c r="I80" s="1"/>
      <c r="J80" s="1"/>
      <c r="K80" s="1"/>
      <c r="M80" t="s">
        <v>289</v>
      </c>
      <c r="N80" s="1" t="s">
        <v>268</v>
      </c>
      <c r="P80" s="1"/>
      <c r="Q80" t="s">
        <v>302</v>
      </c>
      <c r="R80" s="1">
        <v>8118</v>
      </c>
      <c r="T80" s="1"/>
    </row>
    <row r="81" spans="1:18" x14ac:dyDescent="0.3">
      <c r="E81" s="1"/>
      <c r="F81" s="1"/>
      <c r="G81" s="1"/>
      <c r="I81" s="1"/>
      <c r="K81" s="1"/>
    </row>
    <row r="82" spans="1:18" x14ac:dyDescent="0.3">
      <c r="A82" t="s">
        <v>337</v>
      </c>
      <c r="E82" s="1"/>
      <c r="F82" s="1"/>
      <c r="G82" s="1"/>
      <c r="I82" s="1"/>
      <c r="J82" s="1"/>
      <c r="K82" s="1"/>
      <c r="N82" s="1"/>
      <c r="R82" s="1"/>
    </row>
    <row r="83" spans="1:18" x14ac:dyDescent="0.3">
      <c r="E83" s="1"/>
      <c r="F83" s="1"/>
      <c r="G83" s="1"/>
      <c r="I83" s="1"/>
      <c r="J83" s="1"/>
      <c r="K83" s="1"/>
      <c r="N83" s="1"/>
      <c r="R83" s="1"/>
    </row>
    <row r="84" spans="1:18" x14ac:dyDescent="0.3">
      <c r="A84" t="s">
        <v>257</v>
      </c>
      <c r="B84" t="s">
        <v>245</v>
      </c>
      <c r="C84" t="s">
        <v>258</v>
      </c>
      <c r="D84" t="s">
        <v>259</v>
      </c>
      <c r="E84" s="1" t="s">
        <v>260</v>
      </c>
      <c r="F84" s="1" t="s">
        <v>261</v>
      </c>
      <c r="G84" s="1" t="s">
        <v>262</v>
      </c>
      <c r="H84" t="s">
        <v>263</v>
      </c>
      <c r="I84" s="1" t="s">
        <v>264</v>
      </c>
      <c r="J84" t="s">
        <v>265</v>
      </c>
      <c r="K84" s="1" t="s">
        <v>266</v>
      </c>
      <c r="N84" s="1"/>
      <c r="R84" s="1"/>
    </row>
    <row r="85" spans="1:18" x14ac:dyDescent="0.3">
      <c r="A85">
        <v>1</v>
      </c>
      <c r="B85" t="s">
        <v>75</v>
      </c>
      <c r="C85" t="s">
        <v>330</v>
      </c>
      <c r="D85">
        <v>1</v>
      </c>
      <c r="E85" s="1" t="s">
        <v>268</v>
      </c>
      <c r="F85" s="1" t="s">
        <v>268</v>
      </c>
      <c r="G85" s="1" t="s">
        <v>268</v>
      </c>
      <c r="H85" s="1" t="s">
        <v>268</v>
      </c>
      <c r="I85" s="1" t="s">
        <v>268</v>
      </c>
      <c r="J85" s="1" t="s">
        <v>268</v>
      </c>
      <c r="K85" s="1" t="s">
        <v>268</v>
      </c>
      <c r="L85" s="1"/>
      <c r="M85" s="1"/>
      <c r="N85" s="1"/>
      <c r="R85" s="1"/>
    </row>
    <row r="86" spans="1:18" x14ac:dyDescent="0.3">
      <c r="E86" s="1"/>
      <c r="F86" s="1"/>
      <c r="G86" s="1"/>
      <c r="H86" s="1"/>
      <c r="I86" s="1"/>
      <c r="J86" s="1"/>
      <c r="K86" s="1"/>
      <c r="L86" t="s">
        <v>281</v>
      </c>
      <c r="M86" s="1"/>
      <c r="N86" s="1"/>
      <c r="P86" t="s">
        <v>282</v>
      </c>
      <c r="R86" s="1"/>
    </row>
    <row r="87" spans="1:18" x14ac:dyDescent="0.3">
      <c r="E87" s="1"/>
      <c r="F87" s="1"/>
      <c r="G87" s="1"/>
      <c r="H87" s="1"/>
      <c r="I87" s="1"/>
      <c r="K87" s="1"/>
      <c r="L87" t="s">
        <v>283</v>
      </c>
      <c r="M87" s="1" t="s">
        <v>284</v>
      </c>
      <c r="N87" t="s">
        <v>285</v>
      </c>
      <c r="P87" t="s">
        <v>286</v>
      </c>
      <c r="Q87" t="s">
        <v>287</v>
      </c>
      <c r="R87" t="s">
        <v>288</v>
      </c>
    </row>
    <row r="88" spans="1:18" x14ac:dyDescent="0.3">
      <c r="A88" t="s">
        <v>289</v>
      </c>
      <c r="E88" s="1"/>
      <c r="F88" s="1"/>
      <c r="G88" s="1"/>
      <c r="H88" s="1"/>
      <c r="I88" s="1"/>
      <c r="K88" s="1"/>
      <c r="L88" t="s">
        <v>306</v>
      </c>
      <c r="M88" s="1" t="s">
        <v>292</v>
      </c>
      <c r="N88" s="1" t="s">
        <v>306</v>
      </c>
      <c r="P88" t="s">
        <v>306</v>
      </c>
      <c r="Q88" t="s">
        <v>292</v>
      </c>
      <c r="R88" s="1" t="s">
        <v>306</v>
      </c>
    </row>
    <row r="89" spans="1:18" x14ac:dyDescent="0.3">
      <c r="A89" t="s">
        <v>295</v>
      </c>
      <c r="E89" s="1"/>
      <c r="F89" s="1"/>
      <c r="G89" s="1"/>
      <c r="I89" s="1"/>
      <c r="K89" s="1"/>
      <c r="L89" t="s">
        <v>338</v>
      </c>
      <c r="M89" s="1" t="s">
        <v>339</v>
      </c>
      <c r="N89" s="1" t="s">
        <v>306</v>
      </c>
      <c r="P89" t="s">
        <v>328</v>
      </c>
      <c r="Q89" t="s">
        <v>340</v>
      </c>
      <c r="R89" s="1" t="s">
        <v>306</v>
      </c>
    </row>
    <row r="90" spans="1:18" x14ac:dyDescent="0.3">
      <c r="A90" t="s">
        <v>301</v>
      </c>
      <c r="E90" s="1"/>
      <c r="F90" s="1"/>
      <c r="G90" s="1"/>
      <c r="H90" s="1"/>
      <c r="I90" s="1"/>
      <c r="J90" s="1"/>
      <c r="K90" s="1"/>
      <c r="M90" s="1" t="s">
        <v>289</v>
      </c>
      <c r="N90" s="1" t="s">
        <v>268</v>
      </c>
      <c r="Q90" t="s">
        <v>302</v>
      </c>
      <c r="R90" s="1">
        <v>9151</v>
      </c>
    </row>
    <row r="91" spans="1:18" x14ac:dyDescent="0.3">
      <c r="E91" s="1"/>
      <c r="F91" s="1"/>
      <c r="G91" s="1"/>
      <c r="H91" s="1"/>
      <c r="I91" s="1"/>
      <c r="J91" s="1"/>
      <c r="K91" s="1"/>
      <c r="M91" s="1"/>
      <c r="N91" s="1"/>
      <c r="R91" s="1"/>
    </row>
    <row r="92" spans="1:18" x14ac:dyDescent="0.3">
      <c r="A92" t="s">
        <v>341</v>
      </c>
      <c r="E92" s="1"/>
      <c r="F92" s="1"/>
      <c r="G92" s="1"/>
      <c r="H92" s="1"/>
      <c r="I92" s="1"/>
      <c r="J92" s="1"/>
      <c r="K92" s="1"/>
      <c r="M92" s="1"/>
      <c r="N92" s="1"/>
      <c r="R92" s="1"/>
    </row>
    <row r="93" spans="1:18" x14ac:dyDescent="0.3">
      <c r="E93" s="1"/>
      <c r="F93" s="1"/>
      <c r="G93" s="1"/>
      <c r="I93" s="1"/>
      <c r="J93" s="1"/>
      <c r="K93" s="1"/>
      <c r="N93" s="1"/>
      <c r="R93" s="1"/>
    </row>
    <row r="94" spans="1:18" x14ac:dyDescent="0.3">
      <c r="A94" t="s">
        <v>257</v>
      </c>
      <c r="B94" t="s">
        <v>245</v>
      </c>
      <c r="C94" t="s">
        <v>258</v>
      </c>
      <c r="D94" t="s">
        <v>259</v>
      </c>
      <c r="E94" s="1" t="s">
        <v>260</v>
      </c>
      <c r="F94" s="1" t="s">
        <v>261</v>
      </c>
      <c r="G94" s="1" t="s">
        <v>262</v>
      </c>
      <c r="H94" t="s">
        <v>263</v>
      </c>
      <c r="I94" s="1" t="s">
        <v>264</v>
      </c>
      <c r="J94" t="s">
        <v>265</v>
      </c>
      <c r="K94" s="1" t="s">
        <v>266</v>
      </c>
      <c r="N94" s="1"/>
      <c r="R94" s="1"/>
    </row>
    <row r="95" spans="1:18" x14ac:dyDescent="0.3">
      <c r="A95">
        <v>1</v>
      </c>
      <c r="B95" t="s">
        <v>342</v>
      </c>
      <c r="C95" t="s">
        <v>343</v>
      </c>
      <c r="D95">
        <v>2</v>
      </c>
      <c r="E95" s="1">
        <v>7400</v>
      </c>
      <c r="F95" s="1">
        <v>7400</v>
      </c>
      <c r="G95" s="1">
        <v>7400</v>
      </c>
      <c r="H95" t="s">
        <v>268</v>
      </c>
      <c r="I95" s="1">
        <v>7400</v>
      </c>
      <c r="J95" t="s">
        <v>268</v>
      </c>
      <c r="K95" s="1">
        <v>7400</v>
      </c>
      <c r="N95" s="1"/>
      <c r="R95" s="1"/>
    </row>
    <row r="96" spans="1:18" x14ac:dyDescent="0.3">
      <c r="A96">
        <v>2</v>
      </c>
      <c r="B96" t="s">
        <v>344</v>
      </c>
      <c r="C96" t="s">
        <v>345</v>
      </c>
      <c r="D96">
        <v>1</v>
      </c>
      <c r="E96" s="1">
        <v>10000</v>
      </c>
      <c r="F96" s="1">
        <v>10000</v>
      </c>
      <c r="G96" s="1">
        <v>10000</v>
      </c>
      <c r="H96" t="s">
        <v>268</v>
      </c>
      <c r="I96" s="1">
        <v>10000</v>
      </c>
      <c r="J96" t="s">
        <v>268</v>
      </c>
      <c r="K96" s="1">
        <v>10000</v>
      </c>
      <c r="N96" s="1"/>
      <c r="R96" s="1"/>
    </row>
    <row r="97" spans="1:20" x14ac:dyDescent="0.3">
      <c r="A97">
        <v>3</v>
      </c>
      <c r="B97" t="s">
        <v>25</v>
      </c>
      <c r="C97" t="s">
        <v>346</v>
      </c>
      <c r="D97">
        <v>3</v>
      </c>
      <c r="E97" s="1">
        <v>10000</v>
      </c>
      <c r="F97" s="1">
        <v>10000</v>
      </c>
      <c r="G97" s="1">
        <v>10000</v>
      </c>
      <c r="H97" t="s">
        <v>268</v>
      </c>
      <c r="I97" s="1">
        <v>10000</v>
      </c>
      <c r="J97" t="s">
        <v>268</v>
      </c>
      <c r="K97" s="1">
        <v>10000</v>
      </c>
      <c r="P97" s="1"/>
      <c r="T97" s="1"/>
    </row>
    <row r="98" spans="1:20" x14ac:dyDescent="0.3">
      <c r="A98">
        <v>4</v>
      </c>
      <c r="B98" t="s">
        <v>23</v>
      </c>
      <c r="C98" t="s">
        <v>347</v>
      </c>
      <c r="D98">
        <v>4</v>
      </c>
      <c r="E98" s="1">
        <v>7900</v>
      </c>
      <c r="F98" s="1">
        <v>7900</v>
      </c>
      <c r="G98" s="1">
        <v>7900</v>
      </c>
      <c r="H98" t="s">
        <v>268</v>
      </c>
      <c r="I98" s="1">
        <v>7900</v>
      </c>
      <c r="J98" t="s">
        <v>268</v>
      </c>
      <c r="K98" s="1">
        <v>7900</v>
      </c>
      <c r="N98" s="1"/>
      <c r="R98" s="1"/>
    </row>
    <row r="99" spans="1:20" x14ac:dyDescent="0.3">
      <c r="A99">
        <v>5</v>
      </c>
      <c r="B99" t="s">
        <v>348</v>
      </c>
      <c r="C99" t="s">
        <v>349</v>
      </c>
      <c r="D99">
        <v>2</v>
      </c>
      <c r="E99" s="1">
        <v>8800</v>
      </c>
      <c r="F99" s="1">
        <v>8100</v>
      </c>
      <c r="G99" s="1">
        <v>8100</v>
      </c>
      <c r="H99" t="s">
        <v>268</v>
      </c>
      <c r="I99" s="1">
        <v>8275</v>
      </c>
      <c r="J99" s="1" t="s">
        <v>268</v>
      </c>
      <c r="K99" s="1">
        <v>8275</v>
      </c>
      <c r="N99" s="1"/>
      <c r="R99" s="1"/>
    </row>
    <row r="100" spans="1:20" x14ac:dyDescent="0.3">
      <c r="A100">
        <v>6</v>
      </c>
      <c r="B100" t="s">
        <v>30</v>
      </c>
      <c r="C100" t="s">
        <v>271</v>
      </c>
      <c r="D100">
        <v>1</v>
      </c>
      <c r="E100" s="1">
        <v>9000</v>
      </c>
      <c r="F100" s="1">
        <v>9000</v>
      </c>
      <c r="G100" s="1">
        <v>9000</v>
      </c>
      <c r="H100" t="s">
        <v>268</v>
      </c>
      <c r="I100" s="1">
        <v>9000</v>
      </c>
      <c r="J100" s="1" t="s">
        <v>268</v>
      </c>
      <c r="K100" s="1">
        <v>9000</v>
      </c>
      <c r="N100" s="1"/>
      <c r="R100" s="1"/>
    </row>
    <row r="101" spans="1:20" x14ac:dyDescent="0.3">
      <c r="A101">
        <v>7</v>
      </c>
      <c r="B101" t="s">
        <v>19</v>
      </c>
      <c r="C101" t="s">
        <v>350</v>
      </c>
      <c r="D101">
        <v>4</v>
      </c>
      <c r="E101" s="1">
        <v>10000</v>
      </c>
      <c r="F101" s="1">
        <v>10000</v>
      </c>
      <c r="G101" s="1">
        <v>10000</v>
      </c>
      <c r="H101" t="s">
        <v>268</v>
      </c>
      <c r="I101" s="1">
        <v>10000</v>
      </c>
      <c r="J101" s="1" t="s">
        <v>268</v>
      </c>
      <c r="K101" s="1">
        <v>10000</v>
      </c>
      <c r="N101" s="1"/>
      <c r="R101" s="1"/>
    </row>
    <row r="102" spans="1:20" x14ac:dyDescent="0.3">
      <c r="A102">
        <v>8</v>
      </c>
      <c r="B102" t="s">
        <v>34</v>
      </c>
      <c r="C102" t="s">
        <v>351</v>
      </c>
      <c r="D102">
        <v>2</v>
      </c>
      <c r="E102" s="1">
        <v>8100</v>
      </c>
      <c r="F102" s="1">
        <v>8100</v>
      </c>
      <c r="G102" s="1">
        <v>8100</v>
      </c>
      <c r="H102" s="1" t="s">
        <v>268</v>
      </c>
      <c r="I102" s="1">
        <v>8100</v>
      </c>
      <c r="J102" t="s">
        <v>268</v>
      </c>
      <c r="K102" s="1">
        <v>8100</v>
      </c>
      <c r="M102" s="1"/>
      <c r="N102" s="1"/>
      <c r="R102" s="1"/>
    </row>
    <row r="103" spans="1:20" x14ac:dyDescent="0.3">
      <c r="E103" s="1"/>
      <c r="F103" s="1"/>
      <c r="G103" s="1"/>
      <c r="H103" s="1"/>
      <c r="I103" s="1"/>
      <c r="J103" s="1"/>
      <c r="K103" s="1"/>
      <c r="L103" t="s">
        <v>281</v>
      </c>
      <c r="M103" s="1"/>
      <c r="N103" s="1"/>
      <c r="P103" t="s">
        <v>282</v>
      </c>
      <c r="R103" s="1"/>
    </row>
    <row r="104" spans="1:20" x14ac:dyDescent="0.3">
      <c r="E104" s="1"/>
      <c r="F104" s="1"/>
      <c r="G104" s="1"/>
      <c r="H104" s="1"/>
      <c r="I104" s="1"/>
      <c r="J104" s="1"/>
      <c r="K104" s="1"/>
      <c r="L104" t="s">
        <v>283</v>
      </c>
      <c r="M104" s="1" t="s">
        <v>284</v>
      </c>
      <c r="N104" t="s">
        <v>285</v>
      </c>
      <c r="P104" t="s">
        <v>286</v>
      </c>
      <c r="Q104" t="s">
        <v>287</v>
      </c>
      <c r="R104" t="s">
        <v>288</v>
      </c>
    </row>
    <row r="105" spans="1:20" x14ac:dyDescent="0.3">
      <c r="A105" t="s">
        <v>289</v>
      </c>
      <c r="E105" s="1"/>
      <c r="F105" s="1"/>
      <c r="G105" s="1"/>
      <c r="H105" s="1"/>
      <c r="I105" s="1"/>
      <c r="K105" s="1"/>
      <c r="L105" t="s">
        <v>290</v>
      </c>
      <c r="M105" s="1" t="s">
        <v>290</v>
      </c>
      <c r="N105" s="1" t="s">
        <v>292</v>
      </c>
      <c r="P105" t="s">
        <v>352</v>
      </c>
      <c r="Q105" t="s">
        <v>352</v>
      </c>
      <c r="R105" s="1" t="s">
        <v>292</v>
      </c>
    </row>
    <row r="106" spans="1:20" x14ac:dyDescent="0.3">
      <c r="A106" t="s">
        <v>295</v>
      </c>
      <c r="E106" s="1"/>
      <c r="F106" s="1"/>
      <c r="G106" s="1"/>
      <c r="I106" s="1"/>
      <c r="K106" s="1"/>
      <c r="L106" t="s">
        <v>339</v>
      </c>
      <c r="M106" s="1" t="s">
        <v>339</v>
      </c>
      <c r="N106" s="1" t="s">
        <v>292</v>
      </c>
      <c r="P106" t="s">
        <v>340</v>
      </c>
      <c r="Q106" t="s">
        <v>340</v>
      </c>
      <c r="R106" s="1" t="s">
        <v>292</v>
      </c>
    </row>
    <row r="107" spans="1:20" x14ac:dyDescent="0.3">
      <c r="A107" t="s">
        <v>301</v>
      </c>
      <c r="E107" s="1"/>
      <c r="F107" s="1"/>
      <c r="G107" s="1"/>
      <c r="H107" s="1"/>
      <c r="I107" s="1"/>
      <c r="K107" s="1"/>
      <c r="M107" s="1" t="s">
        <v>289</v>
      </c>
      <c r="N107" s="1">
        <v>8850</v>
      </c>
      <c r="Q107" t="s">
        <v>302</v>
      </c>
      <c r="R107" s="1">
        <v>9320</v>
      </c>
    </row>
    <row r="108" spans="1:20" x14ac:dyDescent="0.3">
      <c r="E108" s="1"/>
      <c r="F108" s="1"/>
      <c r="G108" s="1"/>
      <c r="H108" s="1"/>
      <c r="I108" s="1"/>
      <c r="K108" s="1"/>
      <c r="M108" s="1"/>
      <c r="N108" s="1"/>
      <c r="R108" s="1"/>
    </row>
    <row r="109" spans="1:20" x14ac:dyDescent="0.3">
      <c r="A109" t="s">
        <v>353</v>
      </c>
      <c r="E109" s="1"/>
      <c r="F109" s="1"/>
      <c r="G109" s="1"/>
      <c r="H109" s="1"/>
      <c r="I109" s="1"/>
      <c r="K109" s="1"/>
      <c r="M109" s="1"/>
      <c r="N109" s="1"/>
      <c r="R109" s="1"/>
    </row>
    <row r="110" spans="1:20" x14ac:dyDescent="0.3">
      <c r="E110" s="1"/>
      <c r="F110" s="1"/>
      <c r="G110" s="1"/>
      <c r="H110" s="1"/>
      <c r="I110" s="1"/>
      <c r="K110" s="1"/>
      <c r="M110" s="1"/>
      <c r="N110" s="1"/>
      <c r="R110" s="1"/>
    </row>
    <row r="111" spans="1:20" x14ac:dyDescent="0.3">
      <c r="A111" t="s">
        <v>257</v>
      </c>
      <c r="B111" t="s">
        <v>245</v>
      </c>
      <c r="C111" t="s">
        <v>258</v>
      </c>
      <c r="D111" t="s">
        <v>259</v>
      </c>
      <c r="E111" s="1" t="s">
        <v>260</v>
      </c>
      <c r="F111" s="1" t="s">
        <v>261</v>
      </c>
      <c r="G111" s="1" t="s">
        <v>262</v>
      </c>
      <c r="H111" t="s">
        <v>263</v>
      </c>
      <c r="I111" s="1" t="s">
        <v>264</v>
      </c>
      <c r="J111" s="1" t="s">
        <v>265</v>
      </c>
      <c r="K111" s="1" t="s">
        <v>266</v>
      </c>
      <c r="N111" s="1"/>
      <c r="R111" s="1"/>
    </row>
    <row r="112" spans="1:20" x14ac:dyDescent="0.3">
      <c r="A112">
        <v>1</v>
      </c>
      <c r="B112" t="s">
        <v>22</v>
      </c>
      <c r="C112" t="s">
        <v>354</v>
      </c>
      <c r="D112">
        <v>2</v>
      </c>
      <c r="E112" s="1">
        <v>10000</v>
      </c>
      <c r="F112" s="1">
        <v>10000</v>
      </c>
      <c r="G112" s="1">
        <v>9800</v>
      </c>
      <c r="H112" t="s">
        <v>268</v>
      </c>
      <c r="I112" s="1">
        <v>9920</v>
      </c>
      <c r="J112" t="s">
        <v>268</v>
      </c>
      <c r="K112" s="1">
        <v>9920</v>
      </c>
      <c r="N112" s="1"/>
      <c r="R112" s="1"/>
    </row>
    <row r="113" spans="1:20" x14ac:dyDescent="0.3">
      <c r="A113">
        <v>2</v>
      </c>
      <c r="B113" t="s">
        <v>53</v>
      </c>
      <c r="C113" t="s">
        <v>137</v>
      </c>
      <c r="D113">
        <v>2</v>
      </c>
      <c r="E113" s="1">
        <v>9800</v>
      </c>
      <c r="F113" s="1">
        <v>9800</v>
      </c>
      <c r="G113" s="1">
        <v>9800</v>
      </c>
      <c r="H113" t="s">
        <v>268</v>
      </c>
      <c r="I113" s="1">
        <v>9800</v>
      </c>
      <c r="J113" t="s">
        <v>268</v>
      </c>
      <c r="K113" s="1">
        <v>9800</v>
      </c>
      <c r="N113" s="1"/>
      <c r="R113" s="1"/>
    </row>
    <row r="114" spans="1:20" x14ac:dyDescent="0.3">
      <c r="A114">
        <v>3</v>
      </c>
      <c r="B114" t="s">
        <v>60</v>
      </c>
      <c r="C114" t="s">
        <v>239</v>
      </c>
      <c r="D114">
        <v>2</v>
      </c>
      <c r="E114" s="1">
        <v>9100</v>
      </c>
      <c r="F114" s="1">
        <v>9300</v>
      </c>
      <c r="G114" s="1">
        <v>9200</v>
      </c>
      <c r="H114" t="s">
        <v>268</v>
      </c>
      <c r="I114" s="1">
        <v>9200</v>
      </c>
      <c r="J114" s="1" t="s">
        <v>268</v>
      </c>
      <c r="K114" s="1">
        <v>9200</v>
      </c>
      <c r="N114" s="1"/>
      <c r="R114" s="1"/>
    </row>
    <row r="115" spans="1:20" x14ac:dyDescent="0.3">
      <c r="A115">
        <v>4</v>
      </c>
      <c r="B115" t="s">
        <v>27</v>
      </c>
      <c r="C115" t="s">
        <v>355</v>
      </c>
      <c r="D115">
        <v>2</v>
      </c>
      <c r="E115" s="1">
        <v>8000</v>
      </c>
      <c r="F115" s="1">
        <v>9800</v>
      </c>
      <c r="G115" s="1">
        <v>10000</v>
      </c>
      <c r="H115" t="s">
        <v>268</v>
      </c>
      <c r="I115" s="1">
        <v>9340</v>
      </c>
      <c r="J115" t="s">
        <v>268</v>
      </c>
      <c r="K115" s="1">
        <v>9340</v>
      </c>
      <c r="N115" s="1"/>
      <c r="P115" s="1"/>
      <c r="R115" s="1"/>
      <c r="T115" s="1"/>
    </row>
    <row r="116" spans="1:20" x14ac:dyDescent="0.3">
      <c r="A116">
        <v>5</v>
      </c>
      <c r="B116" t="s">
        <v>18</v>
      </c>
      <c r="C116" t="s">
        <v>356</v>
      </c>
      <c r="D116">
        <v>4</v>
      </c>
      <c r="E116" s="1">
        <v>10000</v>
      </c>
      <c r="F116" s="1">
        <v>10000</v>
      </c>
      <c r="G116" s="1">
        <v>10000</v>
      </c>
      <c r="H116" t="s">
        <v>268</v>
      </c>
      <c r="I116" s="1">
        <v>10000</v>
      </c>
      <c r="J116" t="s">
        <v>268</v>
      </c>
      <c r="K116" s="1">
        <v>10000</v>
      </c>
    </row>
    <row r="117" spans="1:20" x14ac:dyDescent="0.3">
      <c r="A117">
        <v>6</v>
      </c>
      <c r="B117" t="s">
        <v>357</v>
      </c>
      <c r="C117" t="s">
        <v>358</v>
      </c>
      <c r="D117">
        <v>2</v>
      </c>
      <c r="E117" s="1">
        <v>10000</v>
      </c>
      <c r="F117" s="1">
        <v>10000</v>
      </c>
      <c r="G117" s="1">
        <v>10000</v>
      </c>
      <c r="H117" t="s">
        <v>268</v>
      </c>
      <c r="I117" s="1">
        <v>10000</v>
      </c>
      <c r="J117" s="1" t="s">
        <v>268</v>
      </c>
      <c r="K117" s="1">
        <v>10000</v>
      </c>
      <c r="N117" s="1"/>
      <c r="R117" s="1"/>
    </row>
    <row r="118" spans="1:20" x14ac:dyDescent="0.3">
      <c r="A118">
        <v>7</v>
      </c>
      <c r="B118" t="s">
        <v>359</v>
      </c>
      <c r="C118" t="s">
        <v>360</v>
      </c>
      <c r="D118">
        <v>2</v>
      </c>
      <c r="E118" s="1">
        <v>10000</v>
      </c>
      <c r="F118" s="1">
        <v>10000</v>
      </c>
      <c r="G118" s="1">
        <v>9160</v>
      </c>
      <c r="H118" t="s">
        <v>268</v>
      </c>
      <c r="I118" s="1">
        <v>9664</v>
      </c>
      <c r="J118" s="1" t="s">
        <v>268</v>
      </c>
      <c r="K118" s="1">
        <v>9664</v>
      </c>
      <c r="N118" s="1"/>
      <c r="R118" s="1"/>
    </row>
    <row r="119" spans="1:20" x14ac:dyDescent="0.3">
      <c r="A119">
        <v>8</v>
      </c>
      <c r="B119" t="s">
        <v>361</v>
      </c>
      <c r="C119" t="s">
        <v>362</v>
      </c>
      <c r="D119">
        <v>1</v>
      </c>
      <c r="E119" s="1">
        <v>10000</v>
      </c>
      <c r="F119" s="1">
        <v>10000</v>
      </c>
      <c r="G119" s="1">
        <v>10000</v>
      </c>
      <c r="H119" t="s">
        <v>268</v>
      </c>
      <c r="I119" s="1">
        <v>10000</v>
      </c>
      <c r="J119" t="s">
        <v>268</v>
      </c>
      <c r="K119" s="1">
        <v>10000</v>
      </c>
      <c r="N119" s="1"/>
      <c r="R119" s="1"/>
    </row>
    <row r="120" spans="1:20" x14ac:dyDescent="0.3">
      <c r="A120">
        <v>9</v>
      </c>
      <c r="B120" t="s">
        <v>141</v>
      </c>
      <c r="C120" t="s">
        <v>363</v>
      </c>
      <c r="D120">
        <v>2</v>
      </c>
      <c r="E120" s="1">
        <v>10000</v>
      </c>
      <c r="F120" s="1">
        <v>10000</v>
      </c>
      <c r="G120" s="1">
        <v>10000</v>
      </c>
      <c r="H120" s="1" t="s">
        <v>268</v>
      </c>
      <c r="I120" s="1">
        <v>10000</v>
      </c>
      <c r="J120" s="1" t="s">
        <v>268</v>
      </c>
      <c r="K120" s="1">
        <v>10000</v>
      </c>
      <c r="M120" s="1"/>
      <c r="N120" s="1"/>
      <c r="R120" s="1"/>
    </row>
    <row r="121" spans="1:20" x14ac:dyDescent="0.3">
      <c r="E121" s="1"/>
      <c r="F121" s="1"/>
      <c r="G121" s="1"/>
      <c r="H121" s="1"/>
      <c r="I121" s="1"/>
      <c r="K121" s="1"/>
      <c r="L121" t="s">
        <v>281</v>
      </c>
      <c r="M121" s="1"/>
      <c r="N121" s="1"/>
      <c r="P121" t="s">
        <v>282</v>
      </c>
      <c r="R121" s="1"/>
    </row>
    <row r="122" spans="1:20" x14ac:dyDescent="0.3">
      <c r="E122" s="1"/>
      <c r="F122" s="1"/>
      <c r="G122" s="1"/>
      <c r="H122" s="1"/>
      <c r="I122" s="1"/>
      <c r="J122" s="1"/>
      <c r="K122" s="1"/>
      <c r="L122" t="s">
        <v>283</v>
      </c>
      <c r="M122" s="1" t="s">
        <v>284</v>
      </c>
      <c r="N122" s="1" t="s">
        <v>285</v>
      </c>
      <c r="P122" t="s">
        <v>286</v>
      </c>
      <c r="Q122" t="s">
        <v>287</v>
      </c>
      <c r="R122" s="1" t="s">
        <v>288</v>
      </c>
    </row>
    <row r="123" spans="1:20" x14ac:dyDescent="0.3">
      <c r="A123" t="s">
        <v>289</v>
      </c>
      <c r="E123" s="1"/>
      <c r="F123" s="1"/>
      <c r="G123" s="1"/>
      <c r="H123" s="1"/>
      <c r="I123" s="1"/>
      <c r="K123" s="1"/>
      <c r="L123" t="s">
        <v>323</v>
      </c>
      <c r="M123" s="1" t="s">
        <v>323</v>
      </c>
      <c r="N123" s="1" t="s">
        <v>292</v>
      </c>
      <c r="P123" t="s">
        <v>352</v>
      </c>
      <c r="Q123" t="s">
        <v>352</v>
      </c>
      <c r="R123" s="1" t="s">
        <v>292</v>
      </c>
    </row>
    <row r="124" spans="1:20" x14ac:dyDescent="0.3">
      <c r="A124" t="s">
        <v>295</v>
      </c>
      <c r="E124" s="1"/>
      <c r="F124" s="1"/>
      <c r="G124" s="1"/>
      <c r="I124" s="1"/>
      <c r="J124" s="1"/>
      <c r="K124" s="1"/>
      <c r="L124" t="s">
        <v>352</v>
      </c>
      <c r="M124" s="1" t="s">
        <v>352</v>
      </c>
      <c r="N124" t="s">
        <v>292</v>
      </c>
      <c r="P124" t="s">
        <v>325</v>
      </c>
      <c r="Q124" t="s">
        <v>325</v>
      </c>
      <c r="R124" t="s">
        <v>292</v>
      </c>
    </row>
    <row r="125" spans="1:20" x14ac:dyDescent="0.3">
      <c r="A125" t="s">
        <v>301</v>
      </c>
      <c r="E125" s="1"/>
      <c r="F125" s="1"/>
      <c r="G125" s="1"/>
      <c r="H125" s="1"/>
      <c r="I125" s="1"/>
      <c r="J125" s="1"/>
      <c r="K125" s="1"/>
      <c r="M125" s="1" t="s">
        <v>289</v>
      </c>
      <c r="N125" s="1">
        <v>9781</v>
      </c>
      <c r="Q125" t="s">
        <v>302</v>
      </c>
      <c r="R125" s="1">
        <v>9576</v>
      </c>
    </row>
    <row r="126" spans="1:20" x14ac:dyDescent="0.3">
      <c r="E126" s="1"/>
      <c r="F126" s="1"/>
      <c r="G126" s="1"/>
      <c r="H126" s="1"/>
      <c r="I126" s="1"/>
      <c r="J126" s="1"/>
      <c r="K126" s="1"/>
      <c r="M126" s="1"/>
      <c r="N126" s="1"/>
      <c r="R126" s="1"/>
    </row>
    <row r="127" spans="1:20" x14ac:dyDescent="0.3">
      <c r="A127" t="s">
        <v>364</v>
      </c>
      <c r="E127" s="1"/>
      <c r="F127" s="1"/>
      <c r="G127" s="1"/>
      <c r="H127" s="1"/>
      <c r="I127" s="1"/>
      <c r="J127" s="1"/>
      <c r="K127" s="1"/>
      <c r="M127" s="1"/>
      <c r="N127" s="1"/>
      <c r="R127" s="1"/>
    </row>
    <row r="128" spans="1:20" x14ac:dyDescent="0.3">
      <c r="E128" s="1"/>
      <c r="F128" s="1"/>
      <c r="G128" s="1"/>
      <c r="H128" s="1"/>
      <c r="I128" s="1"/>
      <c r="K128" s="1"/>
      <c r="M128" s="1"/>
      <c r="N128" s="1"/>
      <c r="R128" s="1"/>
    </row>
    <row r="129" spans="1:20" x14ac:dyDescent="0.3">
      <c r="A129" t="s">
        <v>257</v>
      </c>
      <c r="B129" t="s">
        <v>245</v>
      </c>
      <c r="C129" t="s">
        <v>258</v>
      </c>
      <c r="D129" t="s">
        <v>259</v>
      </c>
      <c r="E129" s="1" t="s">
        <v>260</v>
      </c>
      <c r="F129" s="1" t="s">
        <v>261</v>
      </c>
      <c r="G129" s="1" t="s">
        <v>262</v>
      </c>
      <c r="H129" s="1" t="s">
        <v>263</v>
      </c>
      <c r="I129" s="1" t="s">
        <v>264</v>
      </c>
      <c r="J129" t="s">
        <v>265</v>
      </c>
      <c r="K129" s="1" t="s">
        <v>266</v>
      </c>
      <c r="M129" s="1"/>
      <c r="N129" s="1"/>
      <c r="R129" s="1"/>
    </row>
    <row r="130" spans="1:20" x14ac:dyDescent="0.3">
      <c r="A130">
        <v>1</v>
      </c>
      <c r="B130" t="s">
        <v>365</v>
      </c>
      <c r="C130" t="s">
        <v>366</v>
      </c>
      <c r="D130">
        <v>1</v>
      </c>
      <c r="E130" s="1">
        <v>9650</v>
      </c>
      <c r="F130" s="1">
        <v>8000</v>
      </c>
      <c r="G130" s="1">
        <v>9100</v>
      </c>
      <c r="H130" t="s">
        <v>268</v>
      </c>
      <c r="I130" s="1">
        <v>8935</v>
      </c>
      <c r="J130" s="1" t="s">
        <v>268</v>
      </c>
      <c r="K130" s="1">
        <v>8935</v>
      </c>
    </row>
    <row r="131" spans="1:20" x14ac:dyDescent="0.3">
      <c r="A131">
        <v>2</v>
      </c>
      <c r="B131" t="s">
        <v>367</v>
      </c>
      <c r="C131" t="s">
        <v>368</v>
      </c>
      <c r="D131">
        <v>2</v>
      </c>
      <c r="E131" s="1">
        <v>8750</v>
      </c>
      <c r="F131" s="1">
        <v>8250</v>
      </c>
      <c r="G131" s="1">
        <v>9200</v>
      </c>
      <c r="H131" t="s">
        <v>268</v>
      </c>
      <c r="I131" s="1">
        <v>8780</v>
      </c>
      <c r="J131" t="s">
        <v>268</v>
      </c>
      <c r="K131" s="1">
        <v>8780</v>
      </c>
      <c r="N131" s="1"/>
      <c r="R131" s="1"/>
    </row>
    <row r="132" spans="1:20" x14ac:dyDescent="0.3">
      <c r="A132">
        <v>3</v>
      </c>
      <c r="B132" t="s">
        <v>369</v>
      </c>
      <c r="C132" t="s">
        <v>370</v>
      </c>
      <c r="D132">
        <v>2</v>
      </c>
      <c r="E132" s="1">
        <v>8600</v>
      </c>
      <c r="F132" s="1">
        <v>9900</v>
      </c>
      <c r="G132" s="1">
        <v>9800</v>
      </c>
      <c r="H132" t="s">
        <v>268</v>
      </c>
      <c r="I132" s="1">
        <v>9470</v>
      </c>
      <c r="J132" s="1" t="s">
        <v>268</v>
      </c>
      <c r="K132" s="1">
        <v>9470</v>
      </c>
      <c r="N132" s="1"/>
      <c r="R132" s="1"/>
    </row>
    <row r="133" spans="1:20" x14ac:dyDescent="0.3">
      <c r="A133">
        <v>4</v>
      </c>
      <c r="B133" t="s">
        <v>371</v>
      </c>
      <c r="C133" t="s">
        <v>372</v>
      </c>
      <c r="D133">
        <v>1</v>
      </c>
      <c r="E133" s="1">
        <v>9000</v>
      </c>
      <c r="F133" s="1">
        <v>9000</v>
      </c>
      <c r="G133" s="1">
        <v>8500</v>
      </c>
      <c r="H133" t="s">
        <v>268</v>
      </c>
      <c r="I133" s="1">
        <v>8800</v>
      </c>
      <c r="J133" t="s">
        <v>268</v>
      </c>
      <c r="K133" s="1">
        <v>8800</v>
      </c>
    </row>
    <row r="134" spans="1:20" x14ac:dyDescent="0.3">
      <c r="A134">
        <v>5</v>
      </c>
      <c r="B134" t="s">
        <v>373</v>
      </c>
      <c r="C134" t="s">
        <v>330</v>
      </c>
      <c r="D134">
        <v>1</v>
      </c>
      <c r="E134" s="1">
        <v>9500</v>
      </c>
      <c r="F134" s="1">
        <v>9300</v>
      </c>
      <c r="G134" s="1">
        <v>9200</v>
      </c>
      <c r="H134" t="s">
        <v>268</v>
      </c>
      <c r="I134" s="1">
        <v>9320</v>
      </c>
      <c r="J134" s="1" t="s">
        <v>268</v>
      </c>
      <c r="K134" s="1">
        <v>9320</v>
      </c>
      <c r="N134" s="1"/>
      <c r="P134" s="1"/>
      <c r="R134" s="1"/>
      <c r="T134" s="1"/>
    </row>
    <row r="135" spans="1:20" x14ac:dyDescent="0.3">
      <c r="A135">
        <v>6</v>
      </c>
      <c r="B135" t="s">
        <v>17</v>
      </c>
      <c r="C135" t="s">
        <v>330</v>
      </c>
      <c r="D135">
        <v>2</v>
      </c>
      <c r="E135" s="1">
        <v>9850</v>
      </c>
      <c r="F135" s="1">
        <v>9900</v>
      </c>
      <c r="G135" s="1">
        <v>9520</v>
      </c>
      <c r="H135" t="s">
        <v>268</v>
      </c>
      <c r="I135" s="1">
        <v>9733</v>
      </c>
      <c r="J135" t="s">
        <v>268</v>
      </c>
      <c r="K135" s="1">
        <v>9733</v>
      </c>
      <c r="N135" s="1"/>
      <c r="R135" s="1"/>
    </row>
    <row r="136" spans="1:20" x14ac:dyDescent="0.3">
      <c r="A136">
        <v>7</v>
      </c>
      <c r="B136" t="s">
        <v>374</v>
      </c>
      <c r="C136" t="s">
        <v>375</v>
      </c>
      <c r="D136">
        <v>2</v>
      </c>
      <c r="E136" s="1">
        <v>9860</v>
      </c>
      <c r="F136" s="1">
        <v>9210</v>
      </c>
      <c r="G136" s="1">
        <v>9800</v>
      </c>
      <c r="H136" t="s">
        <v>268</v>
      </c>
      <c r="I136" s="1">
        <v>9641</v>
      </c>
      <c r="J136" t="s">
        <v>268</v>
      </c>
      <c r="K136" s="1">
        <v>9641</v>
      </c>
      <c r="N136" s="1"/>
      <c r="R136" s="1"/>
    </row>
    <row r="137" spans="1:20" x14ac:dyDescent="0.3">
      <c r="A137">
        <v>8</v>
      </c>
      <c r="B137" t="s">
        <v>51</v>
      </c>
      <c r="C137" t="s">
        <v>376</v>
      </c>
      <c r="D137">
        <v>2</v>
      </c>
      <c r="E137" s="1">
        <v>10000</v>
      </c>
      <c r="F137" s="1">
        <v>9000</v>
      </c>
      <c r="G137" s="1">
        <v>9500</v>
      </c>
      <c r="H137" t="s">
        <v>268</v>
      </c>
      <c r="I137" s="1">
        <v>9500</v>
      </c>
      <c r="J137" t="s">
        <v>268</v>
      </c>
      <c r="K137" s="1">
        <v>9500</v>
      </c>
      <c r="N137" s="1"/>
      <c r="R137" s="1"/>
    </row>
    <row r="138" spans="1:20" x14ac:dyDescent="0.3">
      <c r="A138">
        <v>9</v>
      </c>
      <c r="B138" t="s">
        <v>377</v>
      </c>
      <c r="C138" t="s">
        <v>378</v>
      </c>
      <c r="D138">
        <v>1</v>
      </c>
      <c r="E138" s="1">
        <v>9700</v>
      </c>
      <c r="F138" s="1">
        <v>9500</v>
      </c>
      <c r="G138" s="1">
        <v>9600</v>
      </c>
      <c r="H138" t="s">
        <v>268</v>
      </c>
      <c r="I138" s="1">
        <v>9600</v>
      </c>
      <c r="J138" t="s">
        <v>268</v>
      </c>
      <c r="K138" s="1">
        <v>9600</v>
      </c>
      <c r="N138" s="1"/>
      <c r="R138" s="1"/>
    </row>
    <row r="139" spans="1:20" x14ac:dyDescent="0.3">
      <c r="A139">
        <v>10</v>
      </c>
      <c r="B139" t="s">
        <v>379</v>
      </c>
      <c r="C139" t="s">
        <v>380</v>
      </c>
      <c r="D139">
        <v>2</v>
      </c>
      <c r="E139" s="1">
        <v>10000</v>
      </c>
      <c r="F139" s="1">
        <v>10000</v>
      </c>
      <c r="G139" s="1">
        <v>8000</v>
      </c>
      <c r="H139" s="1" t="s">
        <v>268</v>
      </c>
      <c r="I139" s="1">
        <v>9200</v>
      </c>
      <c r="J139" t="s">
        <v>268</v>
      </c>
      <c r="K139" s="1">
        <v>9200</v>
      </c>
      <c r="M139" s="1"/>
      <c r="N139" s="1"/>
      <c r="R139" s="1"/>
    </row>
    <row r="140" spans="1:20" x14ac:dyDescent="0.3">
      <c r="E140" s="1"/>
      <c r="F140" s="1"/>
      <c r="G140" s="1"/>
      <c r="H140" s="1"/>
      <c r="I140" s="1"/>
      <c r="J140" s="1"/>
      <c r="K140" s="1"/>
      <c r="L140" t="s">
        <v>281</v>
      </c>
      <c r="M140" s="1"/>
      <c r="N140" s="1"/>
      <c r="P140" t="s">
        <v>282</v>
      </c>
      <c r="R140" s="1"/>
    </row>
    <row r="141" spans="1:20" x14ac:dyDescent="0.3">
      <c r="E141" s="1"/>
      <c r="F141" s="1"/>
      <c r="G141" s="1"/>
      <c r="H141" s="1"/>
      <c r="I141" s="1"/>
      <c r="J141" s="1"/>
      <c r="K141" s="1"/>
      <c r="L141" t="s">
        <v>283</v>
      </c>
      <c r="M141" s="1" t="s">
        <v>284</v>
      </c>
      <c r="N141" s="1" t="s">
        <v>285</v>
      </c>
      <c r="P141" t="s">
        <v>286</v>
      </c>
      <c r="Q141" t="s">
        <v>287</v>
      </c>
      <c r="R141" s="1" t="s">
        <v>288</v>
      </c>
    </row>
    <row r="142" spans="1:20" x14ac:dyDescent="0.3">
      <c r="A142" t="s">
        <v>289</v>
      </c>
      <c r="E142" s="1"/>
      <c r="F142" s="1"/>
      <c r="G142" s="1"/>
      <c r="H142" s="1"/>
      <c r="I142" s="1"/>
      <c r="K142" s="1"/>
      <c r="L142" t="s">
        <v>381</v>
      </c>
      <c r="M142" s="1" t="s">
        <v>381</v>
      </c>
      <c r="N142" s="1" t="s">
        <v>292</v>
      </c>
      <c r="P142" t="s">
        <v>382</v>
      </c>
      <c r="Q142" t="s">
        <v>382</v>
      </c>
      <c r="R142" s="1" t="s">
        <v>292</v>
      </c>
    </row>
    <row r="143" spans="1:20" x14ac:dyDescent="0.3">
      <c r="A143" t="s">
        <v>295</v>
      </c>
      <c r="E143" s="1"/>
      <c r="F143" s="1"/>
      <c r="G143" s="1"/>
      <c r="H143" s="1"/>
      <c r="I143" s="1"/>
      <c r="J143" s="1"/>
      <c r="K143" s="1"/>
      <c r="L143" t="s">
        <v>381</v>
      </c>
      <c r="M143" s="1" t="s">
        <v>381</v>
      </c>
      <c r="N143" s="1" t="s">
        <v>292</v>
      </c>
      <c r="P143" t="s">
        <v>382</v>
      </c>
      <c r="Q143" t="s">
        <v>382</v>
      </c>
      <c r="R143" s="1" t="s">
        <v>292</v>
      </c>
    </row>
    <row r="144" spans="1:20" x14ac:dyDescent="0.3">
      <c r="A144" t="s">
        <v>301</v>
      </c>
      <c r="E144" s="1"/>
      <c r="F144" s="1"/>
      <c r="G144" s="1"/>
      <c r="H144" s="1"/>
      <c r="I144" s="1"/>
      <c r="K144" s="1"/>
      <c r="M144" s="1" t="s">
        <v>289</v>
      </c>
      <c r="N144" s="1">
        <v>9331</v>
      </c>
      <c r="Q144" t="s">
        <v>302</v>
      </c>
      <c r="R144" s="1">
        <v>9331</v>
      </c>
    </row>
    <row r="145" spans="5:20" x14ac:dyDescent="0.3">
      <c r="E145" s="1"/>
      <c r="F145" s="1"/>
      <c r="G145" s="1"/>
      <c r="H145" s="1"/>
      <c r="I145" s="1"/>
      <c r="J145" s="1"/>
      <c r="K145" s="1"/>
      <c r="M145" s="1"/>
      <c r="N145" s="1"/>
      <c r="R145" s="1"/>
    </row>
    <row r="146" spans="5:20" x14ac:dyDescent="0.3">
      <c r="E146" s="1"/>
      <c r="F146" s="1"/>
      <c r="G146" s="1"/>
      <c r="H146" s="1"/>
      <c r="I146" s="1"/>
      <c r="K146" s="1"/>
      <c r="M146" s="1"/>
      <c r="N146" s="1"/>
      <c r="R146" s="1"/>
    </row>
    <row r="147" spans="5:20" x14ac:dyDescent="0.3">
      <c r="E147" s="1"/>
      <c r="F147" s="1"/>
      <c r="G147" s="1"/>
      <c r="I147" s="1"/>
      <c r="K147" s="1"/>
      <c r="N147" s="1"/>
      <c r="R147" s="1"/>
    </row>
    <row r="148" spans="5:20" x14ac:dyDescent="0.3">
      <c r="E148" s="1"/>
      <c r="F148" s="1"/>
      <c r="G148" s="1"/>
      <c r="I148" s="1"/>
      <c r="J148" s="1"/>
      <c r="K148" s="1"/>
      <c r="N148" s="1"/>
      <c r="R148" s="1"/>
    </row>
    <row r="149" spans="5:20" x14ac:dyDescent="0.3">
      <c r="E149" s="1"/>
      <c r="F149" s="1"/>
      <c r="G149" s="1"/>
      <c r="I149" s="1"/>
      <c r="J149" s="1"/>
      <c r="K149" s="1"/>
      <c r="N149" s="1"/>
      <c r="R149" s="1"/>
    </row>
    <row r="150" spans="5:20" x14ac:dyDescent="0.3">
      <c r="E150" s="1"/>
      <c r="F150" s="1"/>
      <c r="G150" s="1"/>
      <c r="I150" s="1"/>
      <c r="K150" s="1"/>
    </row>
    <row r="151" spans="5:20" x14ac:dyDescent="0.3">
      <c r="E151" s="1"/>
      <c r="F151" s="1"/>
      <c r="G151" s="1"/>
      <c r="I151" s="1"/>
      <c r="K151" s="1"/>
      <c r="N151" s="1"/>
      <c r="P151" s="1"/>
      <c r="R151" s="1"/>
      <c r="T151" s="1"/>
    </row>
    <row r="152" spans="5:20" x14ac:dyDescent="0.3">
      <c r="E152" s="1"/>
      <c r="F152" s="1"/>
      <c r="G152" s="1"/>
      <c r="I152" s="1"/>
      <c r="K152" s="1"/>
      <c r="N152" s="1"/>
      <c r="R152" s="1"/>
    </row>
    <row r="153" spans="5:20" x14ac:dyDescent="0.3">
      <c r="E153" s="1"/>
      <c r="F153" s="1"/>
      <c r="G153" s="1"/>
      <c r="I153" s="1"/>
      <c r="K153" s="1"/>
      <c r="N153" s="1"/>
      <c r="R153" s="1"/>
    </row>
    <row r="154" spans="5:20" x14ac:dyDescent="0.3">
      <c r="E154" s="1"/>
      <c r="F154" s="1"/>
      <c r="G154" s="1"/>
      <c r="I154" s="1"/>
      <c r="J154" s="1"/>
      <c r="K154" s="1"/>
      <c r="N154" s="1"/>
      <c r="R154" s="1"/>
    </row>
    <row r="155" spans="5:20" x14ac:dyDescent="0.3">
      <c r="E155" s="1"/>
      <c r="F155" s="1"/>
      <c r="G155" s="1"/>
      <c r="I155" s="1"/>
      <c r="K155" s="1"/>
      <c r="N155" s="1"/>
      <c r="R155" s="1"/>
    </row>
    <row r="156" spans="5:20" x14ac:dyDescent="0.3">
      <c r="E156" s="1"/>
      <c r="F156" s="1"/>
      <c r="G156" s="1"/>
      <c r="I156" s="1"/>
      <c r="K156" s="1"/>
      <c r="N156" s="1"/>
      <c r="R156" s="1"/>
    </row>
    <row r="157" spans="5:20" x14ac:dyDescent="0.3">
      <c r="E157" s="1"/>
      <c r="F157" s="1"/>
      <c r="G157" s="1"/>
      <c r="I157" s="1"/>
      <c r="J157" s="1"/>
      <c r="K157" s="1"/>
      <c r="N157" s="1"/>
      <c r="R157" s="1"/>
    </row>
    <row r="158" spans="5:20" x14ac:dyDescent="0.3">
      <c r="E158" s="1"/>
      <c r="F158" s="1"/>
      <c r="G158" s="1"/>
      <c r="I158" s="1"/>
      <c r="K158" s="1"/>
    </row>
    <row r="159" spans="5:20" x14ac:dyDescent="0.3">
      <c r="E159" s="1"/>
      <c r="F159" s="1"/>
      <c r="G159" s="1"/>
      <c r="I159" s="1"/>
      <c r="K159" s="1"/>
    </row>
    <row r="160" spans="5:20" x14ac:dyDescent="0.3">
      <c r="E160" s="1"/>
      <c r="F160" s="1"/>
      <c r="G160" s="1"/>
      <c r="I160" s="1"/>
      <c r="K160" s="1"/>
      <c r="N160" s="1"/>
      <c r="R160" s="1"/>
    </row>
    <row r="161" spans="5:18" x14ac:dyDescent="0.3">
      <c r="E161" s="1"/>
      <c r="F161" s="1"/>
      <c r="G161" s="1"/>
      <c r="I161" s="1"/>
      <c r="K161" s="1"/>
      <c r="N161" s="1"/>
      <c r="R161" s="1"/>
    </row>
    <row r="162" spans="5:18" x14ac:dyDescent="0.3">
      <c r="E162" s="1"/>
      <c r="F162" s="1"/>
      <c r="G162" s="1"/>
      <c r="I162" s="1"/>
      <c r="J162" s="1"/>
      <c r="K162" s="1"/>
    </row>
    <row r="163" spans="5:18" x14ac:dyDescent="0.3">
      <c r="E163" s="1"/>
      <c r="F163" s="1"/>
      <c r="G163" s="1"/>
      <c r="I163" s="1"/>
      <c r="J163" s="1"/>
      <c r="K163" s="1"/>
      <c r="N163" s="1"/>
      <c r="R163" s="1"/>
    </row>
    <row r="164" spans="5:18" x14ac:dyDescent="0.3">
      <c r="E164" s="1"/>
      <c r="F164" s="1"/>
      <c r="G164" s="1"/>
      <c r="I164" s="1"/>
      <c r="J164" s="1"/>
      <c r="K164" s="1"/>
      <c r="N164" s="1"/>
      <c r="R164" s="1"/>
    </row>
    <row r="165" spans="5:18" x14ac:dyDescent="0.3">
      <c r="E165" s="1"/>
      <c r="F165" s="1"/>
      <c r="G165" s="1"/>
      <c r="I165" s="1"/>
      <c r="K165" s="1"/>
      <c r="N165" s="1"/>
      <c r="R165" s="1"/>
    </row>
    <row r="166" spans="5:18" x14ac:dyDescent="0.3">
      <c r="E166" s="1"/>
      <c r="F166" s="1"/>
      <c r="G166" s="1"/>
      <c r="I166" s="1"/>
      <c r="J166" s="1"/>
      <c r="K166" s="1"/>
      <c r="N166" s="1"/>
      <c r="R166" s="1"/>
    </row>
    <row r="167" spans="5:18" x14ac:dyDescent="0.3">
      <c r="E167" s="1"/>
      <c r="F167" s="1"/>
      <c r="G167" s="1"/>
      <c r="I167" s="1"/>
      <c r="J167" s="1"/>
      <c r="K167" s="1"/>
    </row>
    <row r="168" spans="5:18" x14ac:dyDescent="0.3">
      <c r="E168" s="1"/>
      <c r="F168" s="1"/>
      <c r="G168" s="1"/>
      <c r="I168" s="1"/>
      <c r="J168" s="1"/>
      <c r="K168" s="1"/>
    </row>
    <row r="169" spans="5:18" x14ac:dyDescent="0.3">
      <c r="E169" s="1"/>
      <c r="F169" s="1"/>
      <c r="G169" s="1"/>
      <c r="I169" s="1"/>
      <c r="K169" s="1"/>
      <c r="N169" s="1"/>
      <c r="R169" s="1"/>
    </row>
    <row r="170" spans="5:18" x14ac:dyDescent="0.3">
      <c r="E170" s="1"/>
      <c r="F170" s="1"/>
      <c r="G170" s="1"/>
      <c r="I170" s="1"/>
      <c r="J170" s="1"/>
      <c r="K170" s="1"/>
      <c r="N170" s="1"/>
      <c r="R170" s="1"/>
    </row>
    <row r="171" spans="5:18" x14ac:dyDescent="0.3">
      <c r="E171" s="1"/>
      <c r="F171" s="1"/>
      <c r="G171" s="1"/>
      <c r="I171" s="1"/>
      <c r="K171" s="1"/>
      <c r="N171" s="1"/>
      <c r="R171" s="1"/>
    </row>
    <row r="172" spans="5:18" x14ac:dyDescent="0.3">
      <c r="E172" s="1"/>
      <c r="F172" s="1"/>
      <c r="G172" s="1"/>
      <c r="I172" s="1"/>
      <c r="K172" s="1"/>
      <c r="N172" s="1"/>
      <c r="R172" s="1"/>
    </row>
    <row r="173" spans="5:18" x14ac:dyDescent="0.3">
      <c r="E173" s="1"/>
      <c r="F173" s="1"/>
      <c r="G173" s="1"/>
      <c r="I173" s="1"/>
      <c r="K173" s="1"/>
      <c r="N173" s="1"/>
      <c r="R173" s="1"/>
    </row>
    <row r="174" spans="5:18" x14ac:dyDescent="0.3">
      <c r="E174" s="1"/>
      <c r="F174" s="1"/>
      <c r="G174" s="1"/>
      <c r="I174" s="1"/>
      <c r="K174" s="1"/>
      <c r="N174" s="1"/>
      <c r="R174" s="1"/>
    </row>
    <row r="175" spans="5:18" x14ac:dyDescent="0.3">
      <c r="E175" s="1"/>
      <c r="F175" s="1"/>
      <c r="G175" s="1"/>
      <c r="I175" s="1"/>
      <c r="K175" s="1"/>
      <c r="N175" s="1"/>
      <c r="R175" s="1"/>
    </row>
    <row r="176" spans="5:18" x14ac:dyDescent="0.3">
      <c r="E176" s="1"/>
      <c r="F176" s="1"/>
      <c r="G176" s="1"/>
      <c r="I176" s="1"/>
      <c r="K176" s="1"/>
      <c r="N176" s="1"/>
      <c r="R176" s="1"/>
    </row>
    <row r="177" spans="5:18" x14ac:dyDescent="0.3">
      <c r="E177" s="1"/>
      <c r="F177" s="1"/>
      <c r="G177" s="1"/>
      <c r="I177" s="1"/>
      <c r="K177" s="1"/>
      <c r="N177" s="1"/>
      <c r="R177" s="1"/>
    </row>
    <row r="178" spans="5:18" x14ac:dyDescent="0.3">
      <c r="E178" s="1"/>
      <c r="F178" s="1"/>
      <c r="G178" s="1"/>
      <c r="I178" s="1"/>
      <c r="K178" s="1"/>
      <c r="N178" s="1"/>
      <c r="R178" s="1"/>
    </row>
    <row r="179" spans="5:18" x14ac:dyDescent="0.3">
      <c r="E179" s="1"/>
      <c r="F179" s="1"/>
      <c r="G179" s="1"/>
      <c r="I179" s="1"/>
      <c r="K179" s="1"/>
      <c r="N179" s="1"/>
      <c r="R179" s="1"/>
    </row>
    <row r="180" spans="5:18" x14ac:dyDescent="0.3">
      <c r="E180" s="1"/>
      <c r="F180" s="1"/>
      <c r="G180" s="1"/>
      <c r="I180" s="1"/>
      <c r="K180" s="1"/>
      <c r="N180" s="1"/>
      <c r="R180" s="1"/>
    </row>
    <row r="181" spans="5:18" x14ac:dyDescent="0.3">
      <c r="E181" s="1"/>
      <c r="F181" s="1"/>
      <c r="G181" s="1"/>
      <c r="I181" s="1"/>
      <c r="K181" s="1"/>
    </row>
    <row r="182" spans="5:18" x14ac:dyDescent="0.3">
      <c r="E182" s="1"/>
      <c r="F182" s="1"/>
      <c r="G182" s="1"/>
      <c r="I182" s="1"/>
      <c r="J182" s="1"/>
      <c r="K182" s="1"/>
    </row>
    <row r="183" spans="5:18" x14ac:dyDescent="0.3">
      <c r="E183" s="1"/>
      <c r="F183" s="1"/>
      <c r="G183" s="1"/>
      <c r="I183" s="1"/>
      <c r="K183" s="1"/>
    </row>
    <row r="184" spans="5:18" x14ac:dyDescent="0.3">
      <c r="E184" s="1"/>
      <c r="F184" s="1"/>
      <c r="G184" s="1"/>
      <c r="I184" s="1"/>
      <c r="K184" s="1"/>
    </row>
    <row r="185" spans="5:18" x14ac:dyDescent="0.3">
      <c r="E185" s="1"/>
      <c r="F185" s="1"/>
      <c r="G185" s="1"/>
      <c r="I185" s="1"/>
      <c r="K185" s="1"/>
      <c r="N185" s="1"/>
      <c r="R185" s="1"/>
    </row>
    <row r="186" spans="5:18" x14ac:dyDescent="0.3">
      <c r="E186" s="1"/>
      <c r="F186" s="1"/>
      <c r="G186" s="1"/>
      <c r="I186" s="1"/>
      <c r="K186" s="1"/>
      <c r="N186" s="1"/>
      <c r="R186" s="1"/>
    </row>
    <row r="187" spans="5:18" x14ac:dyDescent="0.3">
      <c r="E187" s="1"/>
      <c r="F187" s="1"/>
      <c r="G187" s="1"/>
      <c r="I187" s="1"/>
      <c r="K187" s="1"/>
      <c r="N187" s="1"/>
      <c r="R187" s="1"/>
    </row>
    <row r="188" spans="5:18" x14ac:dyDescent="0.3">
      <c r="E188" s="1"/>
      <c r="F188" s="1"/>
      <c r="G188" s="1"/>
      <c r="I188" s="1"/>
      <c r="K188" s="1"/>
      <c r="N188" s="1"/>
      <c r="R188" s="1"/>
    </row>
    <row r="189" spans="5:18" x14ac:dyDescent="0.3">
      <c r="E189" s="1"/>
      <c r="F189" s="1"/>
      <c r="G189" s="1"/>
      <c r="I189" s="1"/>
      <c r="K189" s="1"/>
      <c r="N189" s="1"/>
      <c r="R189" s="1"/>
    </row>
    <row r="190" spans="5:18" x14ac:dyDescent="0.3">
      <c r="E190" s="1"/>
      <c r="F190" s="1"/>
      <c r="G190" s="1"/>
      <c r="I190" s="1"/>
      <c r="K190" s="1"/>
      <c r="N190" s="1"/>
      <c r="R190" s="1"/>
    </row>
    <row r="191" spans="5:18" x14ac:dyDescent="0.3">
      <c r="E191" s="1"/>
      <c r="F191" s="1"/>
      <c r="G191" s="1"/>
      <c r="I191" s="1"/>
      <c r="K191" s="1"/>
      <c r="N191" s="1"/>
      <c r="R191" s="1"/>
    </row>
    <row r="192" spans="5:18" x14ac:dyDescent="0.3">
      <c r="E192" s="1"/>
      <c r="F192" s="1"/>
      <c r="G192" s="1"/>
      <c r="I192" s="1"/>
      <c r="K192" s="1"/>
      <c r="N192" s="1"/>
      <c r="R192" s="1"/>
    </row>
    <row r="193" spans="5:18" x14ac:dyDescent="0.3">
      <c r="E193" s="1"/>
      <c r="F193" s="1"/>
      <c r="G193" s="1"/>
      <c r="I193" s="1"/>
      <c r="K193" s="1"/>
      <c r="N193" s="1"/>
      <c r="R193" s="1"/>
    </row>
    <row r="194" spans="5:18" x14ac:dyDescent="0.3">
      <c r="E194" s="1"/>
      <c r="F194" s="1"/>
      <c r="G194" s="1"/>
      <c r="I194" s="1"/>
      <c r="K194" s="1"/>
      <c r="N194" s="1"/>
      <c r="R194" s="1"/>
    </row>
    <row r="195" spans="5:18" x14ac:dyDescent="0.3">
      <c r="E195" s="1"/>
      <c r="F195" s="1"/>
      <c r="G195" s="1"/>
      <c r="I195" s="1"/>
      <c r="K195" s="1"/>
      <c r="N195" s="1"/>
      <c r="R195" s="1"/>
    </row>
    <row r="196" spans="5:18" x14ac:dyDescent="0.3">
      <c r="E196" s="1"/>
      <c r="F196" s="1"/>
      <c r="G196" s="1"/>
      <c r="I196" s="1"/>
      <c r="K196" s="1"/>
    </row>
    <row r="197" spans="5:18" x14ac:dyDescent="0.3">
      <c r="E197" s="1"/>
      <c r="F197" s="1"/>
      <c r="G197" s="1"/>
      <c r="I197" s="1"/>
      <c r="K197" s="1"/>
      <c r="N197" s="1"/>
      <c r="R197" s="1"/>
    </row>
    <row r="198" spans="5:18" x14ac:dyDescent="0.3">
      <c r="E198" s="1"/>
      <c r="F198" s="1"/>
      <c r="G198" s="1"/>
      <c r="I198" s="1"/>
      <c r="K198" s="1"/>
    </row>
    <row r="199" spans="5:18" x14ac:dyDescent="0.3">
      <c r="E199" s="1"/>
      <c r="F199" s="1"/>
      <c r="G199" s="1"/>
      <c r="I199" s="1"/>
      <c r="K199" s="1"/>
    </row>
    <row r="200" spans="5:18" x14ac:dyDescent="0.3">
      <c r="E200" s="1"/>
      <c r="F200" s="1"/>
      <c r="G200" s="1"/>
      <c r="I200" s="1"/>
      <c r="K200" s="1"/>
    </row>
    <row r="201" spans="5:18" x14ac:dyDescent="0.3">
      <c r="E201" s="1"/>
      <c r="F201" s="1"/>
      <c r="G201" s="1"/>
      <c r="I201" s="1"/>
      <c r="K201" s="1"/>
    </row>
    <row r="202" spans="5:18" x14ac:dyDescent="0.3">
      <c r="E202" s="1"/>
      <c r="F202" s="1"/>
      <c r="G202" s="1"/>
      <c r="I202" s="1"/>
      <c r="K202" s="1"/>
    </row>
    <row r="203" spans="5:18" x14ac:dyDescent="0.3">
      <c r="E203" s="1"/>
      <c r="F203" s="1"/>
      <c r="G203" s="1"/>
      <c r="I203" s="1"/>
      <c r="K203" s="1"/>
    </row>
    <row r="204" spans="5:18" x14ac:dyDescent="0.3">
      <c r="E204" s="1"/>
      <c r="F204" s="1"/>
      <c r="G204" s="1"/>
      <c r="I204" s="1"/>
      <c r="K204" s="1"/>
      <c r="N204" s="1"/>
      <c r="R204" s="1"/>
    </row>
    <row r="205" spans="5:18" x14ac:dyDescent="0.3">
      <c r="E205" s="1"/>
      <c r="F205" s="1"/>
      <c r="G205" s="1"/>
      <c r="I205" s="1"/>
      <c r="K205" s="1"/>
      <c r="N205" s="1"/>
      <c r="R205" s="1"/>
    </row>
    <row r="206" spans="5:18" x14ac:dyDescent="0.3">
      <c r="E206" s="1"/>
      <c r="F206" s="1"/>
      <c r="G206" s="1"/>
      <c r="I206" s="1"/>
      <c r="K206" s="1"/>
      <c r="N206" s="1"/>
      <c r="R206" s="1"/>
    </row>
    <row r="207" spans="5:18" x14ac:dyDescent="0.3">
      <c r="E207" s="1"/>
      <c r="F207" s="1"/>
      <c r="G207" s="1"/>
      <c r="I207" s="1"/>
      <c r="K207" s="1"/>
      <c r="N207" s="1"/>
      <c r="R207" s="1"/>
    </row>
    <row r="208" spans="5:18" x14ac:dyDescent="0.3">
      <c r="E208" s="1"/>
      <c r="F208" s="1"/>
      <c r="G208" s="1"/>
      <c r="I208" s="1"/>
      <c r="K208" s="1"/>
      <c r="N208" s="1"/>
      <c r="R208" s="1"/>
    </row>
    <row r="209" spans="5:18" x14ac:dyDescent="0.3">
      <c r="E209" s="1"/>
      <c r="F209" s="1"/>
      <c r="G209" s="1"/>
      <c r="I209" s="1"/>
      <c r="K209" s="1"/>
      <c r="N209" s="1"/>
      <c r="R209" s="1"/>
    </row>
    <row r="210" spans="5:18" x14ac:dyDescent="0.3">
      <c r="E210" s="1"/>
      <c r="F210" s="1"/>
      <c r="G210" s="1"/>
      <c r="I210" s="1"/>
      <c r="K210" s="1"/>
    </row>
    <row r="211" spans="5:18" x14ac:dyDescent="0.3">
      <c r="E211" s="1"/>
      <c r="F211" s="1"/>
      <c r="G211" s="1"/>
      <c r="I211" s="1"/>
      <c r="K211" s="1"/>
      <c r="N211" s="1"/>
      <c r="R211" s="1"/>
    </row>
    <row r="212" spans="5:18" x14ac:dyDescent="0.3">
      <c r="E212" s="1"/>
      <c r="F212" s="1"/>
      <c r="G212" s="1"/>
      <c r="I212" s="1"/>
      <c r="K212" s="1"/>
    </row>
    <row r="213" spans="5:18" x14ac:dyDescent="0.3">
      <c r="E213" s="1"/>
      <c r="F213" s="1"/>
      <c r="G213" s="1"/>
      <c r="I213" s="1"/>
      <c r="K213" s="1"/>
      <c r="N213" s="1"/>
      <c r="R213" s="1"/>
    </row>
    <row r="214" spans="5:18" x14ac:dyDescent="0.3">
      <c r="E214" s="1"/>
      <c r="F214" s="1"/>
      <c r="G214" s="1"/>
      <c r="I214" s="1"/>
      <c r="K214" s="1"/>
      <c r="N214" s="1"/>
      <c r="R214" s="1"/>
    </row>
    <row r="215" spans="5:18" x14ac:dyDescent="0.3">
      <c r="E215" s="1"/>
      <c r="F215" s="1"/>
      <c r="G215" s="1"/>
      <c r="I215" s="1"/>
      <c r="J215" s="1"/>
      <c r="K215" s="1"/>
    </row>
    <row r="216" spans="5:18" x14ac:dyDescent="0.3">
      <c r="E216" s="1"/>
      <c r="F216" s="1"/>
      <c r="G216" s="1"/>
      <c r="I216" s="1"/>
      <c r="K216" s="1"/>
    </row>
    <row r="217" spans="5:18" x14ac:dyDescent="0.3">
      <c r="E217" s="1"/>
      <c r="F217" s="1"/>
      <c r="G217" s="1"/>
      <c r="I217" s="1"/>
      <c r="K217" s="1"/>
    </row>
    <row r="218" spans="5:18" x14ac:dyDescent="0.3">
      <c r="E218" s="1"/>
      <c r="F218" s="1"/>
      <c r="G218" s="1"/>
      <c r="I218" s="1"/>
      <c r="K218" s="1"/>
    </row>
    <row r="219" spans="5:18" x14ac:dyDescent="0.3">
      <c r="E219" s="1"/>
      <c r="F219" s="1"/>
      <c r="G219" s="1"/>
      <c r="I219" s="1"/>
      <c r="K219" s="1"/>
    </row>
    <row r="220" spans="5:18" x14ac:dyDescent="0.3">
      <c r="E220" s="1"/>
      <c r="F220" s="1"/>
      <c r="G220" s="1"/>
      <c r="I220" s="1"/>
      <c r="K220" s="1"/>
    </row>
    <row r="221" spans="5:18" x14ac:dyDescent="0.3">
      <c r="E221" s="1"/>
      <c r="F221" s="1"/>
      <c r="G221" s="1"/>
      <c r="I221" s="1"/>
      <c r="K221" s="1"/>
      <c r="N221" s="1"/>
      <c r="R221" s="1"/>
    </row>
    <row r="222" spans="5:18" x14ac:dyDescent="0.3">
      <c r="E222" s="1"/>
      <c r="F222" s="1"/>
      <c r="G222" s="1"/>
      <c r="I222" s="1"/>
      <c r="K222" s="1"/>
      <c r="N222" s="1"/>
      <c r="R222" s="1"/>
    </row>
    <row r="223" spans="5:18" x14ac:dyDescent="0.3">
      <c r="E223" s="1"/>
      <c r="F223" s="1"/>
      <c r="G223" s="1"/>
      <c r="I223" s="1"/>
      <c r="K223" s="1"/>
      <c r="N223" s="1"/>
      <c r="R223" s="1"/>
    </row>
    <row r="224" spans="5:18" x14ac:dyDescent="0.3">
      <c r="E224" s="1"/>
      <c r="F224" s="1"/>
      <c r="G224" s="1"/>
      <c r="I224" s="1"/>
      <c r="K224" s="1"/>
      <c r="N224" s="1"/>
      <c r="R224" s="1"/>
    </row>
    <row r="225" spans="5:18" x14ac:dyDescent="0.3">
      <c r="E225" s="1"/>
      <c r="F225" s="1"/>
      <c r="G225" s="1"/>
      <c r="I225" s="1"/>
      <c r="K225" s="1"/>
      <c r="N225" s="1"/>
      <c r="R225" s="1"/>
    </row>
    <row r="226" spans="5:18" x14ac:dyDescent="0.3">
      <c r="E226" s="1"/>
      <c r="F226" s="1"/>
      <c r="G226" s="1"/>
      <c r="I226" s="1"/>
      <c r="K226" s="1"/>
    </row>
    <row r="227" spans="5:18" x14ac:dyDescent="0.3">
      <c r="E227" s="1"/>
      <c r="F227" s="1"/>
      <c r="G227" s="1"/>
      <c r="I227" s="1"/>
      <c r="K227" s="1"/>
      <c r="N227" s="1"/>
      <c r="R227" s="1"/>
    </row>
    <row r="228" spans="5:18" x14ac:dyDescent="0.3">
      <c r="E228" s="1"/>
      <c r="F228" s="1"/>
      <c r="I228" s="1"/>
      <c r="K228" s="1"/>
    </row>
    <row r="229" spans="5:18" x14ac:dyDescent="0.3">
      <c r="E229" s="1"/>
      <c r="F229" s="1"/>
      <c r="G229" s="1"/>
      <c r="I229" s="1"/>
      <c r="K229" s="1"/>
      <c r="N229" s="1"/>
      <c r="R229" s="1"/>
    </row>
    <row r="230" spans="5:18" x14ac:dyDescent="0.3">
      <c r="E230" s="1"/>
      <c r="F230" s="1"/>
      <c r="G230" s="1"/>
      <c r="I230" s="1"/>
      <c r="K230" s="1"/>
      <c r="N230" s="1"/>
      <c r="R230" s="1"/>
    </row>
    <row r="231" spans="5:18" x14ac:dyDescent="0.3">
      <c r="E231" s="1"/>
      <c r="F231" s="1"/>
      <c r="G231" s="1"/>
      <c r="I231" s="1"/>
      <c r="K231" s="1"/>
    </row>
    <row r="232" spans="5:18" x14ac:dyDescent="0.3">
      <c r="E232" s="1"/>
      <c r="F232" s="1"/>
      <c r="G232" s="1"/>
      <c r="I232" s="1"/>
      <c r="K232" s="1"/>
      <c r="N232" s="1"/>
      <c r="R232" s="1"/>
    </row>
    <row r="233" spans="5:18" x14ac:dyDescent="0.3">
      <c r="E233" s="1"/>
      <c r="F233" s="1"/>
      <c r="G233" s="1"/>
      <c r="I233" s="1"/>
      <c r="J233" s="1"/>
      <c r="K233" s="1"/>
    </row>
    <row r="234" spans="5:18" x14ac:dyDescent="0.3">
      <c r="E234" s="1"/>
      <c r="F234" s="1"/>
      <c r="G234" s="1"/>
      <c r="I234" s="1"/>
      <c r="K234" s="1"/>
    </row>
    <row r="235" spans="5:18" x14ac:dyDescent="0.3">
      <c r="E235" s="1"/>
      <c r="F235" s="1"/>
      <c r="G235" s="1"/>
      <c r="I235" s="1"/>
      <c r="K235" s="1"/>
    </row>
    <row r="236" spans="5:18" x14ac:dyDescent="0.3">
      <c r="E236" s="1"/>
      <c r="F236" s="1"/>
      <c r="G236" s="1"/>
      <c r="I236" s="1"/>
      <c r="K236" s="1"/>
    </row>
    <row r="237" spans="5:18" x14ac:dyDescent="0.3">
      <c r="E237" s="1"/>
      <c r="F237" s="1"/>
      <c r="G237" s="1"/>
      <c r="I237" s="1"/>
      <c r="K237" s="1"/>
    </row>
    <row r="238" spans="5:18" x14ac:dyDescent="0.3">
      <c r="E238" s="1"/>
      <c r="F238" s="1"/>
      <c r="G238" s="1"/>
      <c r="I238" s="1"/>
      <c r="K238" s="1"/>
    </row>
    <row r="239" spans="5:18" x14ac:dyDescent="0.3">
      <c r="E239" s="1"/>
      <c r="F239" s="1"/>
      <c r="G239" s="1"/>
      <c r="I239" s="1"/>
      <c r="K239" s="1"/>
    </row>
    <row r="240" spans="5:18" x14ac:dyDescent="0.3">
      <c r="E240" s="1"/>
      <c r="F240" s="1"/>
      <c r="G240" s="1"/>
      <c r="I240" s="1"/>
      <c r="K240" s="1"/>
      <c r="N240" s="1"/>
      <c r="R240" s="1"/>
    </row>
    <row r="241" spans="5:18" x14ac:dyDescent="0.3">
      <c r="E241" s="1"/>
      <c r="F241" s="1"/>
      <c r="G241" s="1"/>
      <c r="I241" s="1"/>
      <c r="K241" s="1"/>
    </row>
    <row r="242" spans="5:18" x14ac:dyDescent="0.3">
      <c r="E242" s="1"/>
      <c r="F242" s="1"/>
      <c r="G242" s="1"/>
      <c r="I242" s="1"/>
      <c r="K242" s="1"/>
      <c r="N242" s="1"/>
      <c r="R242" s="1"/>
    </row>
    <row r="243" spans="5:18" x14ac:dyDescent="0.3">
      <c r="E243" s="1"/>
      <c r="F243" s="1"/>
      <c r="G243" s="1"/>
      <c r="I243" s="1"/>
      <c r="K243" s="1"/>
      <c r="N243" s="1"/>
      <c r="R243" s="1"/>
    </row>
    <row r="244" spans="5:18" x14ac:dyDescent="0.3">
      <c r="E244" s="1"/>
      <c r="F244" s="1"/>
      <c r="G244" s="1"/>
      <c r="I244" s="1"/>
      <c r="K244" s="1"/>
    </row>
    <row r="247" spans="5:18" x14ac:dyDescent="0.3">
      <c r="E247" s="1"/>
      <c r="F247" s="1"/>
      <c r="I247" s="1"/>
      <c r="K247" s="1"/>
    </row>
    <row r="248" spans="5:18" x14ac:dyDescent="0.3">
      <c r="E248" s="1"/>
      <c r="F248" s="1"/>
      <c r="I248" s="1"/>
      <c r="K248" s="1"/>
      <c r="N248" s="1"/>
      <c r="R248" s="1"/>
    </row>
    <row r="249" spans="5:18" x14ac:dyDescent="0.3">
      <c r="E249" s="1"/>
      <c r="F249" s="1"/>
      <c r="I249" s="1"/>
      <c r="K249" s="1"/>
      <c r="N249" s="1"/>
      <c r="R249" s="1"/>
    </row>
    <row r="250" spans="5:18" x14ac:dyDescent="0.3">
      <c r="E250" s="1"/>
      <c r="F250" s="1"/>
      <c r="I250" s="1"/>
      <c r="K250" s="1"/>
    </row>
    <row r="251" spans="5:18" x14ac:dyDescent="0.3">
      <c r="E251" s="1"/>
      <c r="F251" s="1"/>
      <c r="I251" s="1"/>
      <c r="K251" s="1"/>
    </row>
    <row r="252" spans="5:18" x14ac:dyDescent="0.3">
      <c r="E252" s="1"/>
      <c r="F252" s="1"/>
      <c r="I252" s="1"/>
      <c r="K252" s="1"/>
    </row>
    <row r="253" spans="5:18" x14ac:dyDescent="0.3">
      <c r="E253" s="1"/>
      <c r="F253" s="1"/>
      <c r="G253" s="1"/>
      <c r="I253" s="1"/>
      <c r="K253" s="1"/>
    </row>
    <row r="254" spans="5:18" x14ac:dyDescent="0.3">
      <c r="E254" s="1"/>
      <c r="F254" s="1"/>
      <c r="G254" s="1"/>
      <c r="I254" s="1"/>
      <c r="K254" s="1"/>
    </row>
    <row r="255" spans="5:18" x14ac:dyDescent="0.3">
      <c r="E255" s="1"/>
      <c r="F255" s="1"/>
      <c r="G255" s="1"/>
      <c r="I255" s="1"/>
      <c r="K255" s="1"/>
    </row>
    <row r="256" spans="5:18" x14ac:dyDescent="0.3">
      <c r="E256" s="1"/>
      <c r="F256" s="1"/>
      <c r="G256" s="1"/>
      <c r="I256" s="1"/>
      <c r="K256" s="1"/>
    </row>
    <row r="257" spans="5:18" x14ac:dyDescent="0.3">
      <c r="E257" s="1"/>
      <c r="F257" s="1"/>
      <c r="G257" s="1"/>
      <c r="I257" s="1"/>
      <c r="K257" s="1"/>
      <c r="N257" s="1"/>
      <c r="R257" s="1"/>
    </row>
    <row r="258" spans="5:18" x14ac:dyDescent="0.3">
      <c r="E258" s="1"/>
      <c r="F258" s="1"/>
      <c r="G258" s="1"/>
      <c r="I258" s="1"/>
      <c r="K258" s="1"/>
    </row>
    <row r="259" spans="5:18" x14ac:dyDescent="0.3">
      <c r="E259" s="1"/>
      <c r="F259" s="1"/>
      <c r="G259" s="1"/>
      <c r="I259" s="1"/>
      <c r="K259" s="1"/>
    </row>
    <row r="260" spans="5:18" x14ac:dyDescent="0.3">
      <c r="E260" s="1"/>
      <c r="F260" s="1"/>
      <c r="G260" s="1"/>
      <c r="I260" s="1"/>
      <c r="K260" s="1"/>
    </row>
    <row r="261" spans="5:18" x14ac:dyDescent="0.3">
      <c r="E261" s="1"/>
      <c r="F261" s="1"/>
      <c r="G261" s="1"/>
      <c r="I261" s="1"/>
      <c r="K261" s="1"/>
    </row>
    <row r="262" spans="5:18" x14ac:dyDescent="0.3">
      <c r="E262" s="1"/>
      <c r="F262" s="1"/>
      <c r="G262" s="1"/>
      <c r="I262" s="1"/>
      <c r="K262" s="1"/>
    </row>
    <row r="263" spans="5:18" x14ac:dyDescent="0.3">
      <c r="E263" s="1"/>
      <c r="F263" s="1"/>
      <c r="G263" s="1"/>
      <c r="I263" s="1"/>
      <c r="K263" s="1"/>
    </row>
    <row r="264" spans="5:18" x14ac:dyDescent="0.3">
      <c r="E264" s="1"/>
      <c r="F264" s="1"/>
      <c r="I264" s="1"/>
      <c r="K264" s="1"/>
    </row>
    <row r="265" spans="5:18" x14ac:dyDescent="0.3">
      <c r="E265" s="1"/>
      <c r="F265" s="1"/>
      <c r="I265" s="1"/>
      <c r="K265" s="1"/>
      <c r="N265" s="1"/>
      <c r="R265" s="1"/>
    </row>
    <row r="266" spans="5:18" x14ac:dyDescent="0.3">
      <c r="E266" s="1"/>
      <c r="F266" s="1"/>
      <c r="I266" s="1"/>
      <c r="K266" s="1"/>
    </row>
    <row r="267" spans="5:18" x14ac:dyDescent="0.3">
      <c r="E267" s="1"/>
      <c r="F267" s="1"/>
      <c r="G267" s="1"/>
      <c r="I267" s="1"/>
      <c r="K267" s="1"/>
    </row>
    <row r="268" spans="5:18" x14ac:dyDescent="0.3">
      <c r="N268" s="1"/>
      <c r="R268" s="1"/>
    </row>
    <row r="270" spans="5:18" x14ac:dyDescent="0.3">
      <c r="E270" s="1"/>
      <c r="F270" s="1"/>
      <c r="G270" s="1"/>
      <c r="I270" s="1"/>
      <c r="K270" s="1"/>
    </row>
    <row r="271" spans="5:18" x14ac:dyDescent="0.3">
      <c r="E271" s="1"/>
      <c r="F271" s="1"/>
      <c r="G271" s="1"/>
      <c r="I271" s="1"/>
      <c r="K271" s="1"/>
    </row>
    <row r="272" spans="5:18" x14ac:dyDescent="0.3">
      <c r="E272" s="1"/>
      <c r="F272" s="1"/>
      <c r="G272" s="1"/>
      <c r="I272" s="1"/>
      <c r="K272" s="1"/>
      <c r="N272" s="1"/>
      <c r="R272" s="1"/>
    </row>
    <row r="273" spans="5:18" x14ac:dyDescent="0.3">
      <c r="E273" s="1"/>
      <c r="F273" s="1"/>
      <c r="G273" s="1"/>
      <c r="I273" s="1"/>
      <c r="K273" s="1"/>
    </row>
    <row r="274" spans="5:18" x14ac:dyDescent="0.3">
      <c r="E274" s="1"/>
      <c r="F274" s="1"/>
      <c r="G274" s="1"/>
      <c r="I274" s="1"/>
      <c r="K274" s="1"/>
    </row>
    <row r="275" spans="5:18" x14ac:dyDescent="0.3">
      <c r="E275" s="1"/>
      <c r="F275" s="1"/>
      <c r="G275" s="1"/>
      <c r="I275" s="1"/>
      <c r="K275" s="1"/>
    </row>
    <row r="276" spans="5:18" x14ac:dyDescent="0.3">
      <c r="E276" s="1"/>
      <c r="F276" s="1"/>
      <c r="G276" s="1"/>
      <c r="I276" s="1"/>
      <c r="K276" s="1"/>
    </row>
    <row r="277" spans="5:18" x14ac:dyDescent="0.3">
      <c r="E277" s="1"/>
      <c r="F277" s="1"/>
      <c r="G277" s="1"/>
      <c r="I277" s="1"/>
      <c r="K277" s="1"/>
    </row>
    <row r="278" spans="5:18" x14ac:dyDescent="0.3">
      <c r="E278" s="1"/>
      <c r="F278" s="1"/>
      <c r="G278" s="1"/>
      <c r="I278" s="1"/>
      <c r="K278" s="1"/>
    </row>
    <row r="279" spans="5:18" x14ac:dyDescent="0.3">
      <c r="E279" s="1"/>
      <c r="F279" s="1"/>
      <c r="I279" s="1"/>
      <c r="K279" s="1"/>
    </row>
    <row r="280" spans="5:18" x14ac:dyDescent="0.3">
      <c r="E280" s="1"/>
      <c r="F280" s="1"/>
      <c r="G280" s="1"/>
      <c r="I280" s="1"/>
      <c r="K280" s="1"/>
    </row>
    <row r="281" spans="5:18" x14ac:dyDescent="0.3">
      <c r="E281" s="1"/>
      <c r="F281" s="1"/>
      <c r="G281" s="1"/>
      <c r="I281" s="1"/>
      <c r="K281" s="1"/>
    </row>
    <row r="282" spans="5:18" x14ac:dyDescent="0.3">
      <c r="E282" s="1"/>
      <c r="F282" s="1"/>
      <c r="G282" s="1"/>
      <c r="I282" s="1"/>
      <c r="K282" s="1"/>
      <c r="N282" s="1"/>
      <c r="R282" s="1"/>
    </row>
    <row r="283" spans="5:18" x14ac:dyDescent="0.3">
      <c r="E283" s="1"/>
      <c r="F283" s="1"/>
      <c r="I283" s="1"/>
      <c r="K283" s="1"/>
    </row>
    <row r="287" spans="5:18" x14ac:dyDescent="0.3">
      <c r="E287" s="1"/>
      <c r="F287" s="1"/>
      <c r="G287" s="1"/>
      <c r="I287" s="1"/>
      <c r="K287" s="1"/>
    </row>
    <row r="288" spans="5:18" x14ac:dyDescent="0.3">
      <c r="E288" s="1"/>
      <c r="F288" s="1"/>
      <c r="G288" s="1"/>
      <c r="I288" s="1"/>
      <c r="K288" s="1"/>
      <c r="N288" s="1"/>
      <c r="R288" s="1"/>
    </row>
    <row r="289" spans="5:18" x14ac:dyDescent="0.3">
      <c r="E289" s="1"/>
      <c r="F289" s="1"/>
      <c r="G289" s="1"/>
      <c r="I289" s="1"/>
      <c r="K289" s="1"/>
    </row>
    <row r="290" spans="5:18" x14ac:dyDescent="0.3">
      <c r="E290" s="1"/>
      <c r="F290" s="1"/>
      <c r="G290" s="1"/>
      <c r="I290" s="1"/>
      <c r="K290" s="1"/>
    </row>
    <row r="291" spans="5:18" x14ac:dyDescent="0.3">
      <c r="E291" s="1"/>
      <c r="F291" s="1"/>
      <c r="G291" s="1"/>
      <c r="I291" s="1"/>
      <c r="K291" s="1"/>
    </row>
    <row r="292" spans="5:18" x14ac:dyDescent="0.3">
      <c r="E292" s="1"/>
      <c r="F292" s="1"/>
      <c r="G292" s="1"/>
      <c r="I292" s="1"/>
      <c r="K292" s="1"/>
    </row>
    <row r="293" spans="5:18" x14ac:dyDescent="0.3">
      <c r="E293" s="1"/>
      <c r="F293" s="1"/>
      <c r="G293" s="1"/>
      <c r="I293" s="1"/>
      <c r="K293" s="1"/>
    </row>
    <row r="294" spans="5:18" x14ac:dyDescent="0.3">
      <c r="E294" s="1"/>
      <c r="F294" s="1"/>
      <c r="G294" s="1"/>
      <c r="I294" s="1"/>
      <c r="K294" s="1"/>
    </row>
    <row r="295" spans="5:18" x14ac:dyDescent="0.3">
      <c r="E295" s="1"/>
      <c r="F295" s="1"/>
      <c r="G295" s="1"/>
      <c r="I295" s="1"/>
      <c r="K295" s="1"/>
    </row>
    <row r="299" spans="5:18" x14ac:dyDescent="0.3">
      <c r="E299" s="1"/>
      <c r="F299" s="1"/>
      <c r="G299" s="1"/>
      <c r="I299" s="1"/>
      <c r="K299" s="1"/>
      <c r="N299" s="1"/>
      <c r="R299" s="1"/>
    </row>
    <row r="300" spans="5:18" x14ac:dyDescent="0.3">
      <c r="E300" s="1"/>
      <c r="F300" s="1"/>
      <c r="G300" s="1"/>
      <c r="I300" s="1"/>
      <c r="K300" s="1"/>
      <c r="N300" s="1"/>
      <c r="R300" s="1"/>
    </row>
    <row r="301" spans="5:18" x14ac:dyDescent="0.3">
      <c r="E301" s="1"/>
      <c r="F301" s="1"/>
      <c r="G301" s="1"/>
      <c r="I301" s="1"/>
      <c r="K301" s="1"/>
    </row>
    <row r="302" spans="5:18" x14ac:dyDescent="0.3">
      <c r="E302" s="1"/>
      <c r="F302" s="1"/>
      <c r="G302" s="1"/>
      <c r="I302" s="1"/>
      <c r="K302" s="1"/>
    </row>
    <row r="303" spans="5:18" x14ac:dyDescent="0.3">
      <c r="E303" s="1"/>
      <c r="F303" s="1"/>
      <c r="G303" s="1"/>
      <c r="I303" s="1"/>
      <c r="K303" s="1"/>
    </row>
    <row r="304" spans="5:18" x14ac:dyDescent="0.3">
      <c r="E304" s="1"/>
      <c r="F304" s="1"/>
      <c r="G304" s="1"/>
      <c r="I304" s="1"/>
      <c r="K304" s="1"/>
    </row>
    <row r="305" spans="5:18" x14ac:dyDescent="0.3">
      <c r="E305" s="1"/>
      <c r="F305" s="1"/>
      <c r="G305" s="1"/>
      <c r="I305" s="1"/>
      <c r="K305" s="1"/>
    </row>
    <row r="306" spans="5:18" x14ac:dyDescent="0.3">
      <c r="E306" s="1"/>
      <c r="F306" s="1"/>
      <c r="G306" s="1"/>
      <c r="I306" s="1"/>
      <c r="K306" s="1"/>
    </row>
    <row r="307" spans="5:18" x14ac:dyDescent="0.3">
      <c r="E307" s="1"/>
      <c r="F307" s="1"/>
      <c r="G307" s="1"/>
      <c r="I307" s="1"/>
      <c r="K307" s="1"/>
    </row>
    <row r="308" spans="5:18" x14ac:dyDescent="0.3">
      <c r="E308" s="1"/>
      <c r="F308" s="1"/>
      <c r="G308" s="1"/>
      <c r="I308" s="1"/>
      <c r="K308" s="1"/>
      <c r="N308" s="1"/>
      <c r="R308" s="1"/>
    </row>
    <row r="309" spans="5:18" x14ac:dyDescent="0.3">
      <c r="E309" s="1"/>
      <c r="F309" s="1"/>
      <c r="G309" s="1"/>
      <c r="I309" s="1"/>
      <c r="J309" s="1"/>
      <c r="K309" s="1"/>
    </row>
    <row r="310" spans="5:18" x14ac:dyDescent="0.3">
      <c r="E310" s="1"/>
      <c r="F310" s="1"/>
      <c r="G310" s="1"/>
      <c r="I310" s="1"/>
      <c r="K310" s="1"/>
    </row>
    <row r="311" spans="5:18" x14ac:dyDescent="0.3">
      <c r="E311" s="1"/>
      <c r="F311" s="1"/>
      <c r="G311" s="1"/>
      <c r="I311" s="1"/>
      <c r="K311" s="1"/>
    </row>
    <row r="312" spans="5:18" x14ac:dyDescent="0.3">
      <c r="E312" s="1"/>
      <c r="F312" s="1"/>
      <c r="G312" s="1"/>
      <c r="I312" s="1"/>
      <c r="K312" s="1"/>
    </row>
    <row r="313" spans="5:18" x14ac:dyDescent="0.3">
      <c r="E313" s="1"/>
      <c r="F313" s="1"/>
      <c r="G313" s="1"/>
      <c r="I313" s="1"/>
      <c r="K313" s="1"/>
    </row>
    <row r="314" spans="5:18" x14ac:dyDescent="0.3">
      <c r="E314" s="1"/>
      <c r="F314" s="1"/>
      <c r="G314" s="1"/>
      <c r="I314" s="1"/>
      <c r="K314" s="1"/>
    </row>
    <row r="315" spans="5:18" x14ac:dyDescent="0.3">
      <c r="E315" s="1"/>
      <c r="F315" s="1"/>
      <c r="G315" s="1"/>
      <c r="I315" s="1"/>
      <c r="K315" s="1"/>
    </row>
    <row r="316" spans="5:18" x14ac:dyDescent="0.3">
      <c r="E316" s="1"/>
      <c r="F316" s="1"/>
      <c r="G316" s="1"/>
      <c r="I316" s="1"/>
      <c r="K316" s="1"/>
      <c r="N316" s="1"/>
      <c r="R316" s="1"/>
    </row>
    <row r="317" spans="5:18" x14ac:dyDescent="0.3">
      <c r="E317" s="1"/>
      <c r="F317" s="1"/>
      <c r="G317" s="1"/>
      <c r="I317" s="1"/>
      <c r="K317" s="1"/>
    </row>
    <row r="319" spans="5:18" x14ac:dyDescent="0.3">
      <c r="N319" s="1"/>
      <c r="R319" s="1"/>
    </row>
    <row r="321" spans="5:18" x14ac:dyDescent="0.3">
      <c r="E321" s="1"/>
      <c r="F321" s="1"/>
      <c r="G321" s="1"/>
      <c r="I321" s="1"/>
      <c r="K321" s="1"/>
    </row>
    <row r="322" spans="5:18" x14ac:dyDescent="0.3">
      <c r="E322" s="1"/>
      <c r="F322" s="1"/>
      <c r="G322" s="1"/>
      <c r="I322" s="1"/>
      <c r="K322" s="1"/>
      <c r="N322" s="1"/>
      <c r="R322" s="1"/>
    </row>
    <row r="323" spans="5:18" x14ac:dyDescent="0.3">
      <c r="E323" s="1"/>
      <c r="F323" s="1"/>
      <c r="G323" s="1"/>
      <c r="I323" s="1"/>
      <c r="K323" s="1"/>
    </row>
    <row r="324" spans="5:18" x14ac:dyDescent="0.3">
      <c r="E324" s="1"/>
      <c r="F324" s="1"/>
      <c r="G324" s="1"/>
      <c r="I324" s="1"/>
      <c r="K324" s="1"/>
    </row>
    <row r="325" spans="5:18" x14ac:dyDescent="0.3">
      <c r="E325" s="1"/>
      <c r="F325" s="1"/>
      <c r="G325" s="1"/>
      <c r="I325" s="1"/>
      <c r="J325" s="1"/>
      <c r="K325" s="1"/>
    </row>
    <row r="326" spans="5:18" x14ac:dyDescent="0.3">
      <c r="E326" s="1"/>
      <c r="F326" s="1"/>
      <c r="G326" s="1"/>
      <c r="I326" s="1"/>
      <c r="K326" s="1"/>
    </row>
    <row r="327" spans="5:18" x14ac:dyDescent="0.3">
      <c r="E327" s="1"/>
      <c r="F327" s="1"/>
      <c r="G327" s="1"/>
      <c r="I327" s="1"/>
      <c r="K327" s="1"/>
    </row>
    <row r="328" spans="5:18" x14ac:dyDescent="0.3">
      <c r="E328" s="1"/>
      <c r="F328" s="1"/>
      <c r="G328" s="1"/>
      <c r="I328" s="1"/>
      <c r="K328" s="1"/>
    </row>
    <row r="329" spans="5:18" x14ac:dyDescent="0.3">
      <c r="E329" s="1"/>
      <c r="F329" s="1"/>
      <c r="I329" s="1"/>
      <c r="K329" s="1"/>
    </row>
    <row r="330" spans="5:18" x14ac:dyDescent="0.3">
      <c r="E330" s="1"/>
      <c r="F330" s="1"/>
      <c r="I330" s="1"/>
      <c r="K330" s="1"/>
    </row>
    <row r="331" spans="5:18" x14ac:dyDescent="0.3">
      <c r="E331" s="1"/>
      <c r="F331" s="1"/>
      <c r="I331" s="1"/>
      <c r="K331" s="1"/>
    </row>
    <row r="332" spans="5:18" x14ac:dyDescent="0.3">
      <c r="E332" s="1"/>
      <c r="I332" s="1"/>
      <c r="K332" s="1"/>
    </row>
    <row r="334" spans="5:18" x14ac:dyDescent="0.3">
      <c r="N334" s="1"/>
      <c r="R334" s="1"/>
    </row>
    <row r="337" spans="5:18" x14ac:dyDescent="0.3">
      <c r="N337" s="1"/>
      <c r="R337" s="1"/>
    </row>
    <row r="339" spans="5:18" x14ac:dyDescent="0.3">
      <c r="E339" s="1"/>
      <c r="F339" s="1"/>
      <c r="G339" s="1"/>
      <c r="I339" s="1"/>
      <c r="K339" s="1"/>
    </row>
    <row r="340" spans="5:18" x14ac:dyDescent="0.3">
      <c r="E340" s="1"/>
      <c r="F340" s="1"/>
      <c r="I340" s="1"/>
      <c r="K340" s="1"/>
    </row>
    <row r="341" spans="5:18" x14ac:dyDescent="0.3">
      <c r="E341" s="1"/>
      <c r="F341" s="1"/>
      <c r="G341" s="1"/>
      <c r="I341" s="1"/>
      <c r="K341" s="1"/>
    </row>
    <row r="342" spans="5:18" x14ac:dyDescent="0.3">
      <c r="E342" s="1"/>
      <c r="F342" s="1"/>
      <c r="G342" s="1"/>
      <c r="I342" s="1"/>
      <c r="K342" s="1"/>
    </row>
    <row r="343" spans="5:18" x14ac:dyDescent="0.3">
      <c r="E343" s="1"/>
      <c r="F343" s="1"/>
      <c r="G343" s="1"/>
      <c r="I343" s="1"/>
      <c r="K343" s="1"/>
    </row>
    <row r="344" spans="5:18" x14ac:dyDescent="0.3">
      <c r="E344" s="1"/>
      <c r="F344" s="1"/>
      <c r="G344" s="1"/>
      <c r="I344" s="1"/>
      <c r="K344" s="1"/>
    </row>
    <row r="345" spans="5:18" x14ac:dyDescent="0.3">
      <c r="E345" s="1"/>
      <c r="F345" s="1"/>
      <c r="G345" s="1"/>
      <c r="I345" s="1"/>
      <c r="K345" s="1"/>
    </row>
    <row r="346" spans="5:18" x14ac:dyDescent="0.3">
      <c r="E346" s="1"/>
      <c r="F346" s="1"/>
      <c r="G346" s="1"/>
      <c r="I346" s="1"/>
      <c r="K346" s="1"/>
    </row>
    <row r="347" spans="5:18" x14ac:dyDescent="0.3">
      <c r="E347" s="1"/>
      <c r="F347" s="1"/>
      <c r="G347" s="1"/>
      <c r="I347" s="1"/>
      <c r="K347" s="1"/>
    </row>
    <row r="351" spans="5:18" x14ac:dyDescent="0.3">
      <c r="N351" s="1"/>
      <c r="R351" s="1"/>
    </row>
    <row r="352" spans="5:18" x14ac:dyDescent="0.3">
      <c r="N352" s="1"/>
      <c r="R352" s="1"/>
    </row>
  </sheetData>
  <pageMargins left="0.7" right="0.7" top="0.75" bottom="0.75" header="0.3" footer="0.3"/>
  <pageSetup paperSize="11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/>
  <dimension ref="B1:H14"/>
  <sheetViews>
    <sheetView showRowColHeaders="0" zoomScaleNormal="100" workbookViewId="0">
      <selection activeCell="F6" sqref="F6"/>
    </sheetView>
  </sheetViews>
  <sheetFormatPr baseColWidth="10" defaultColWidth="11.109375" defaultRowHeight="14.4" x14ac:dyDescent="0.3"/>
  <cols>
    <col min="1" max="1" width="8.44140625" style="12" customWidth="1"/>
    <col min="2" max="2" width="5" style="12" hidden="1" customWidth="1"/>
    <col min="3" max="3" width="6.109375" style="12" hidden="1" customWidth="1"/>
    <col min="4" max="4" width="7.88671875" style="12" customWidth="1"/>
    <col min="5" max="5" width="44.88671875" style="12" customWidth="1"/>
    <col min="6" max="6" width="6.88671875" style="13" customWidth="1"/>
    <col min="7" max="7" width="2.5546875" style="12" customWidth="1"/>
    <col min="8" max="8" width="6.109375" style="12" hidden="1" customWidth="1"/>
    <col min="9" max="9" width="1.44140625" style="12" customWidth="1"/>
    <col min="10" max="16384" width="11.109375" style="12"/>
  </cols>
  <sheetData>
    <row r="1" spans="2:8" ht="37.5" customHeight="1" thickBot="1" x14ac:dyDescent="0.35"/>
    <row r="2" spans="2:8" ht="15" customHeight="1" thickBot="1" x14ac:dyDescent="0.35">
      <c r="B2" s="11"/>
      <c r="C2" s="11"/>
      <c r="D2" s="214" t="s">
        <v>79</v>
      </c>
      <c r="E2" s="215"/>
      <c r="F2" s="216"/>
      <c r="H2" s="11"/>
    </row>
    <row r="3" spans="2:8" ht="15" customHeight="1" thickBot="1" x14ac:dyDescent="0.35">
      <c r="B3" s="11"/>
      <c r="C3" s="11"/>
      <c r="D3" s="10" t="s">
        <v>40</v>
      </c>
      <c r="E3" s="86" t="s">
        <v>41</v>
      </c>
      <c r="F3" s="10" t="s">
        <v>42</v>
      </c>
      <c r="H3" s="11"/>
    </row>
    <row r="4" spans="2:8" ht="15" customHeight="1" x14ac:dyDescent="0.3">
      <c r="B4" s="11"/>
      <c r="C4" s="6" t="e">
        <f>D$2&amp;#REF!</f>
        <v>#REF!</v>
      </c>
      <c r="D4" s="14" t="s">
        <v>186</v>
      </c>
      <c r="E4" s="15" t="s">
        <v>187</v>
      </c>
      <c r="F4" s="14">
        <v>3</v>
      </c>
      <c r="H4" s="6" t="e">
        <f>#REF!&amp;#REF!</f>
        <v>#REF!</v>
      </c>
    </row>
    <row r="5" spans="2:8" ht="15" customHeight="1" x14ac:dyDescent="0.3">
      <c r="B5" s="11"/>
      <c r="C5" s="7" t="e">
        <f>D$2&amp;#REF!</f>
        <v>#REF!</v>
      </c>
      <c r="D5" s="14" t="s">
        <v>182</v>
      </c>
      <c r="E5" s="15" t="s">
        <v>183</v>
      </c>
      <c r="F5" s="14">
        <v>3</v>
      </c>
      <c r="H5" s="7" t="e">
        <f>#REF!&amp;#REF!</f>
        <v>#REF!</v>
      </c>
    </row>
    <row r="6" spans="2:8" ht="15" customHeight="1" x14ac:dyDescent="0.3">
      <c r="B6" s="11"/>
      <c r="C6" s="7" t="e">
        <f>D$2&amp;#REF!</f>
        <v>#REF!</v>
      </c>
      <c r="D6" s="14" t="s">
        <v>184</v>
      </c>
      <c r="E6" s="15" t="s">
        <v>185</v>
      </c>
      <c r="F6" s="14">
        <v>3</v>
      </c>
      <c r="H6" s="7" t="e">
        <f>#REF!&amp;#REF!</f>
        <v>#REF!</v>
      </c>
    </row>
    <row r="7" spans="2:8" ht="15" customHeight="1" x14ac:dyDescent="0.3">
      <c r="B7" s="11"/>
      <c r="C7" s="7" t="e">
        <f>D$2&amp;#REF!</f>
        <v>#REF!</v>
      </c>
      <c r="D7" s="14"/>
      <c r="E7" s="15"/>
      <c r="F7" s="14"/>
      <c r="H7" s="7" t="e">
        <f>#REF!&amp;#REF!</f>
        <v>#REF!</v>
      </c>
    </row>
    <row r="8" spans="2:8" ht="15" customHeight="1" x14ac:dyDescent="0.3">
      <c r="B8" s="11"/>
      <c r="C8" s="7" t="e">
        <f>D$2&amp;#REF!</f>
        <v>#REF!</v>
      </c>
      <c r="D8" s="14"/>
      <c r="E8" s="15"/>
      <c r="F8" s="14"/>
      <c r="H8" s="7" t="e">
        <f>#REF!&amp;#REF!</f>
        <v>#REF!</v>
      </c>
    </row>
    <row r="9" spans="2:8" ht="15" customHeight="1" x14ac:dyDescent="0.3">
      <c r="B9" s="11"/>
      <c r="C9" s="7" t="e">
        <f>D$2&amp;#REF!</f>
        <v>#REF!</v>
      </c>
      <c r="D9" s="14"/>
      <c r="E9" s="15"/>
      <c r="F9" s="14"/>
      <c r="H9" s="7" t="e">
        <f>#REF!&amp;#REF!</f>
        <v>#REF!</v>
      </c>
    </row>
    <row r="10" spans="2:8" ht="15" customHeight="1" x14ac:dyDescent="0.3">
      <c r="B10" s="11"/>
      <c r="C10" s="7" t="e">
        <f>D$2&amp;#REF!</f>
        <v>#REF!</v>
      </c>
      <c r="D10" s="14"/>
      <c r="E10" s="15"/>
      <c r="F10" s="14"/>
      <c r="H10" s="7" t="e">
        <f>#REF!&amp;#REF!</f>
        <v>#REF!</v>
      </c>
    </row>
    <row r="11" spans="2:8" ht="15" customHeight="1" x14ac:dyDescent="0.3">
      <c r="B11" s="11"/>
      <c r="C11" s="7" t="e">
        <f>D$2&amp;#REF!</f>
        <v>#REF!</v>
      </c>
      <c r="D11" s="14"/>
      <c r="E11" s="15"/>
      <c r="F11" s="14"/>
      <c r="H11" s="7" t="e">
        <f>#REF!&amp;#REF!</f>
        <v>#REF!</v>
      </c>
    </row>
    <row r="12" spans="2:8" ht="15" customHeight="1" x14ac:dyDescent="0.3">
      <c r="B12" s="11"/>
      <c r="C12" s="7" t="e">
        <f>D$2&amp;#REF!</f>
        <v>#REF!</v>
      </c>
      <c r="D12" s="14"/>
      <c r="E12" s="15"/>
      <c r="F12" s="14"/>
      <c r="H12" s="7" t="e">
        <f>#REF!&amp;#REF!</f>
        <v>#REF!</v>
      </c>
    </row>
    <row r="13" spans="2:8" ht="15" customHeight="1" thickBot="1" x14ac:dyDescent="0.35">
      <c r="B13" s="11"/>
      <c r="C13" s="8" t="e">
        <f>D$2&amp;#REF!</f>
        <v>#REF!</v>
      </c>
      <c r="D13" s="16"/>
      <c r="E13" s="17"/>
      <c r="F13" s="16"/>
      <c r="H13" s="8" t="e">
        <f>#REF!&amp;#REF!</f>
        <v>#REF!</v>
      </c>
    </row>
    <row r="14" spans="2:8" ht="15" customHeight="1" x14ac:dyDescent="0.3"/>
  </sheetData>
  <sheetProtection sheet="1" objects="1" scenarios="1" selectLockedCells="1"/>
  <protectedRanges>
    <protectedRange sqref="D4:F13" name="Rango1"/>
  </protectedRanges>
  <mergeCells count="1">
    <mergeCell ref="D2:F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print="0" autoLine="0" r:id="rId4">
            <anchor>
              <from>
                <xdr:col>9</xdr:col>
                <xdr:colOff>320040</xdr:colOff>
                <xdr:row>3</xdr:row>
                <xdr:rowOff>167640</xdr:rowOff>
              </from>
              <to>
                <xdr:col>11</xdr:col>
                <xdr:colOff>167640</xdr:colOff>
                <xdr:row>7</xdr:row>
                <xdr:rowOff>45720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I79"/>
  <sheetViews>
    <sheetView showGridLines="0" tabSelected="1" zoomScale="115" zoomScaleNormal="115" workbookViewId="0">
      <pane ySplit="1" topLeftCell="A27" activePane="bottomLeft" state="frozen"/>
      <selection pane="bottomLeft" activeCell="C50" sqref="A1:XFD1048576"/>
    </sheetView>
  </sheetViews>
  <sheetFormatPr baseColWidth="10" defaultColWidth="11.109375" defaultRowHeight="14.4" x14ac:dyDescent="0.3"/>
  <cols>
    <col min="1" max="1" width="10.44140625" style="28" customWidth="1"/>
    <col min="2" max="2" width="30.88671875" style="26" customWidth="1"/>
    <col min="3" max="3" width="10.44140625" style="28" customWidth="1"/>
    <col min="4" max="4" width="1.88671875" style="28" customWidth="1"/>
    <col min="5" max="5" width="10.44140625" style="28" customWidth="1"/>
    <col min="6" max="6" width="30.88671875" style="26" customWidth="1"/>
    <col min="7" max="7" width="1.88671875" style="28" customWidth="1"/>
    <col min="8" max="8" width="10.44140625" style="28" customWidth="1"/>
    <col min="9" max="9" width="34.109375" style="26" customWidth="1"/>
    <col min="10" max="16384" width="11.109375" style="26"/>
  </cols>
  <sheetData>
    <row r="1" spans="1:9" x14ac:dyDescent="0.3">
      <c r="A1" s="9" t="s">
        <v>43</v>
      </c>
      <c r="B1" s="133" t="s">
        <v>41</v>
      </c>
      <c r="C1" s="9"/>
      <c r="D1" s="134"/>
      <c r="E1" s="9" t="s">
        <v>43</v>
      </c>
      <c r="F1" s="135" t="s">
        <v>41</v>
      </c>
      <c r="G1" s="134"/>
      <c r="H1" s="9" t="s">
        <v>43</v>
      </c>
      <c r="I1" s="135" t="s">
        <v>41</v>
      </c>
    </row>
    <row r="2" spans="1:9" x14ac:dyDescent="0.3">
      <c r="A2" s="27" t="s">
        <v>97</v>
      </c>
      <c r="B2" s="136" t="s">
        <v>226</v>
      </c>
      <c r="C2" s="27"/>
      <c r="D2" s="137"/>
      <c r="E2" s="27"/>
      <c r="F2" s="136"/>
      <c r="G2" s="137"/>
      <c r="H2" s="27"/>
      <c r="I2" s="136"/>
    </row>
    <row r="3" spans="1:9" x14ac:dyDescent="0.3">
      <c r="A3" s="27" t="s">
        <v>22</v>
      </c>
      <c r="B3" s="138" t="s">
        <v>131</v>
      </c>
      <c r="C3" s="27"/>
      <c r="D3" s="137"/>
      <c r="E3" s="27"/>
      <c r="F3" s="136"/>
      <c r="G3" s="137"/>
      <c r="H3" s="27"/>
      <c r="I3" s="136"/>
    </row>
    <row r="4" spans="1:9" x14ac:dyDescent="0.3">
      <c r="A4" s="27" t="s">
        <v>89</v>
      </c>
      <c r="B4" s="138" t="s">
        <v>159</v>
      </c>
      <c r="C4" s="27"/>
      <c r="D4" s="137"/>
      <c r="E4" s="27"/>
      <c r="F4" s="136"/>
      <c r="G4" s="137"/>
      <c r="H4" s="27"/>
      <c r="I4" s="136"/>
    </row>
    <row r="5" spans="1:9" x14ac:dyDescent="0.3">
      <c r="A5" s="27" t="s">
        <v>101</v>
      </c>
      <c r="B5" s="138" t="s">
        <v>172</v>
      </c>
      <c r="C5" s="27"/>
      <c r="D5" s="137"/>
      <c r="E5" s="27" t="s">
        <v>171</v>
      </c>
      <c r="F5" s="138" t="s">
        <v>172</v>
      </c>
      <c r="G5" s="137"/>
      <c r="H5" s="27"/>
      <c r="I5" s="136"/>
    </row>
    <row r="6" spans="1:9" x14ac:dyDescent="0.3">
      <c r="A6" s="27" t="s">
        <v>20</v>
      </c>
      <c r="B6" s="136" t="s">
        <v>218</v>
      </c>
      <c r="C6" s="27"/>
      <c r="D6" s="137"/>
      <c r="E6" s="27"/>
      <c r="F6" s="138"/>
      <c r="G6" s="137"/>
      <c r="H6" s="27"/>
      <c r="I6" s="138"/>
    </row>
    <row r="7" spans="1:9" x14ac:dyDescent="0.3">
      <c r="A7" s="27" t="s">
        <v>71</v>
      </c>
      <c r="B7" s="136" t="s">
        <v>155</v>
      </c>
      <c r="C7" s="27"/>
      <c r="D7" s="137"/>
      <c r="E7" s="27"/>
      <c r="F7" s="138"/>
      <c r="G7" s="137"/>
      <c r="H7" s="27"/>
      <c r="I7" s="138"/>
    </row>
    <row r="8" spans="1:9" x14ac:dyDescent="0.3">
      <c r="A8" s="27" t="s">
        <v>83</v>
      </c>
      <c r="B8" s="136" t="s">
        <v>222</v>
      </c>
      <c r="C8" s="27"/>
      <c r="D8" s="137"/>
      <c r="E8" s="27"/>
      <c r="F8" s="136"/>
      <c r="G8" s="137"/>
      <c r="H8" s="27"/>
      <c r="I8" s="136"/>
    </row>
    <row r="9" spans="1:9" x14ac:dyDescent="0.3">
      <c r="A9" s="27" t="s">
        <v>90</v>
      </c>
      <c r="B9" s="138" t="s">
        <v>160</v>
      </c>
      <c r="C9" s="27"/>
      <c r="D9" s="137"/>
      <c r="E9" s="27" t="s">
        <v>113</v>
      </c>
      <c r="F9" s="136" t="s">
        <v>160</v>
      </c>
      <c r="G9" s="137"/>
      <c r="H9" s="27"/>
      <c r="I9" s="136"/>
    </row>
    <row r="10" spans="1:9" x14ac:dyDescent="0.3">
      <c r="A10" s="27" t="s">
        <v>99</v>
      </c>
      <c r="B10" s="138" t="s">
        <v>169</v>
      </c>
      <c r="C10" s="27"/>
      <c r="D10" s="137"/>
      <c r="E10" s="27" t="s">
        <v>168</v>
      </c>
      <c r="F10" s="136" t="s">
        <v>169</v>
      </c>
      <c r="G10" s="137"/>
      <c r="H10" s="27"/>
      <c r="I10" s="136"/>
    </row>
    <row r="11" spans="1:9" x14ac:dyDescent="0.3">
      <c r="A11" s="27" t="s">
        <v>102</v>
      </c>
      <c r="B11" s="136" t="s">
        <v>227</v>
      </c>
      <c r="C11" s="27"/>
      <c r="D11" s="137"/>
      <c r="E11" s="27"/>
      <c r="F11" s="138"/>
      <c r="G11" s="137"/>
      <c r="H11" s="27"/>
      <c r="I11" s="136"/>
    </row>
    <row r="12" spans="1:9" x14ac:dyDescent="0.3">
      <c r="A12" s="27" t="s">
        <v>21</v>
      </c>
      <c r="B12" s="138" t="s">
        <v>219</v>
      </c>
      <c r="C12" s="27"/>
      <c r="D12" s="137"/>
      <c r="E12" s="27"/>
      <c r="F12" s="136"/>
      <c r="G12" s="137"/>
      <c r="H12" s="27"/>
      <c r="I12" s="136"/>
    </row>
    <row r="13" spans="1:9" x14ac:dyDescent="0.3">
      <c r="A13" s="27" t="s">
        <v>87</v>
      </c>
      <c r="B13" s="138" t="s">
        <v>156</v>
      </c>
      <c r="C13" s="27"/>
      <c r="D13" s="137"/>
      <c r="E13" s="27"/>
      <c r="F13" s="136"/>
      <c r="G13" s="137"/>
      <c r="H13" s="27"/>
      <c r="I13" s="136"/>
    </row>
    <row r="14" spans="1:9" x14ac:dyDescent="0.3">
      <c r="A14" s="27" t="s">
        <v>35</v>
      </c>
      <c r="B14" s="138" t="s">
        <v>213</v>
      </c>
      <c r="C14" s="27"/>
      <c r="D14" s="137"/>
      <c r="E14" s="27" t="s">
        <v>73</v>
      </c>
      <c r="F14" s="136" t="s">
        <v>213</v>
      </c>
      <c r="G14" s="137"/>
      <c r="H14" s="27" t="s">
        <v>72</v>
      </c>
      <c r="I14" s="136" t="s">
        <v>214</v>
      </c>
    </row>
    <row r="15" spans="1:9" x14ac:dyDescent="0.3">
      <c r="A15" s="27" t="s">
        <v>25</v>
      </c>
      <c r="B15" s="138" t="s">
        <v>199</v>
      </c>
      <c r="C15" s="27"/>
      <c r="D15" s="137"/>
      <c r="E15" s="27" t="s">
        <v>50</v>
      </c>
      <c r="F15" s="136" t="s">
        <v>199</v>
      </c>
      <c r="G15" s="137"/>
      <c r="H15" s="27"/>
      <c r="I15" s="136"/>
    </row>
    <row r="16" spans="1:9" x14ac:dyDescent="0.3">
      <c r="A16" s="27" t="s">
        <v>26</v>
      </c>
      <c r="B16" s="138" t="s">
        <v>197</v>
      </c>
      <c r="C16" s="27"/>
      <c r="D16" s="137"/>
      <c r="E16" s="27" t="s">
        <v>133</v>
      </c>
      <c r="F16" s="138" t="s">
        <v>197</v>
      </c>
      <c r="G16" s="137"/>
      <c r="H16" s="27"/>
      <c r="I16" s="136"/>
    </row>
    <row r="17" spans="1:9" x14ac:dyDescent="0.3">
      <c r="A17" s="27" t="s">
        <v>84</v>
      </c>
      <c r="B17" s="138" t="s">
        <v>147</v>
      </c>
      <c r="C17" s="27"/>
      <c r="D17" s="137"/>
      <c r="E17" s="27"/>
      <c r="F17" s="136"/>
      <c r="G17" s="137"/>
      <c r="H17" s="27"/>
      <c r="I17" s="136"/>
    </row>
    <row r="18" spans="1:9" x14ac:dyDescent="0.3">
      <c r="A18" s="27" t="s">
        <v>100</v>
      </c>
      <c r="B18" s="138" t="s">
        <v>170</v>
      </c>
      <c r="C18" s="27"/>
      <c r="D18" s="137"/>
      <c r="E18" s="27"/>
      <c r="F18" s="136"/>
      <c r="G18" s="137"/>
      <c r="H18" s="27"/>
      <c r="I18" s="136"/>
    </row>
    <row r="19" spans="1:9" x14ac:dyDescent="0.3">
      <c r="A19" s="27" t="s">
        <v>28</v>
      </c>
      <c r="B19" s="138" t="s">
        <v>205</v>
      </c>
      <c r="C19" s="27"/>
      <c r="D19" s="137"/>
      <c r="E19" s="27" t="s">
        <v>66</v>
      </c>
      <c r="F19" s="136" t="s">
        <v>206</v>
      </c>
      <c r="G19" s="137"/>
      <c r="H19" s="27" t="s">
        <v>67</v>
      </c>
      <c r="I19" s="136" t="s">
        <v>206</v>
      </c>
    </row>
    <row r="20" spans="1:9" x14ac:dyDescent="0.3">
      <c r="A20" s="27" t="s">
        <v>24</v>
      </c>
      <c r="B20" s="138" t="s">
        <v>220</v>
      </c>
      <c r="C20" s="27"/>
      <c r="D20" s="137"/>
      <c r="E20" s="27"/>
      <c r="F20" s="136"/>
      <c r="G20" s="137"/>
      <c r="H20" s="27"/>
      <c r="I20" s="136"/>
    </row>
    <row r="21" spans="1:9" x14ac:dyDescent="0.3">
      <c r="A21" s="27" t="s">
        <v>81</v>
      </c>
      <c r="B21" s="138" t="s">
        <v>129</v>
      </c>
      <c r="C21" s="27"/>
      <c r="D21" s="137"/>
      <c r="E21" s="27"/>
      <c r="F21" s="136"/>
      <c r="G21" s="137"/>
      <c r="H21" s="27"/>
      <c r="I21" s="136"/>
    </row>
    <row r="22" spans="1:9" x14ac:dyDescent="0.3">
      <c r="A22" s="27" t="s">
        <v>23</v>
      </c>
      <c r="B22" s="138" t="s">
        <v>196</v>
      </c>
      <c r="C22" s="27"/>
      <c r="D22" s="137"/>
      <c r="E22" s="27"/>
      <c r="F22" s="136"/>
      <c r="G22" s="137"/>
      <c r="H22" s="27"/>
      <c r="I22" s="136"/>
    </row>
    <row r="23" spans="1:9" x14ac:dyDescent="0.3">
      <c r="A23" s="27" t="s">
        <v>17</v>
      </c>
      <c r="B23" s="138" t="s">
        <v>191</v>
      </c>
      <c r="C23" s="27"/>
      <c r="D23" s="137"/>
      <c r="E23" s="27"/>
      <c r="F23" s="136"/>
      <c r="G23" s="137"/>
      <c r="H23" s="27"/>
      <c r="I23" s="136"/>
    </row>
    <row r="24" spans="1:9" x14ac:dyDescent="0.3">
      <c r="A24" s="27" t="s">
        <v>49</v>
      </c>
      <c r="B24" s="136" t="s">
        <v>152</v>
      </c>
      <c r="C24" s="27"/>
      <c r="D24" s="137"/>
      <c r="E24" s="27"/>
      <c r="F24" s="136"/>
      <c r="G24" s="137"/>
      <c r="H24" s="27"/>
      <c r="I24" s="138"/>
    </row>
    <row r="25" spans="1:9" x14ac:dyDescent="0.3">
      <c r="A25" s="27" t="s">
        <v>53</v>
      </c>
      <c r="B25" s="138" t="s">
        <v>137</v>
      </c>
      <c r="C25" s="27"/>
      <c r="D25" s="137"/>
      <c r="E25" s="27"/>
      <c r="F25" s="136"/>
      <c r="G25" s="137"/>
      <c r="H25" s="27"/>
      <c r="I25" s="136"/>
    </row>
    <row r="26" spans="1:9" x14ac:dyDescent="0.3">
      <c r="A26" s="27" t="s">
        <v>60</v>
      </c>
      <c r="B26" s="138" t="s">
        <v>239</v>
      </c>
      <c r="C26" s="27"/>
      <c r="E26" s="27"/>
      <c r="F26" s="136"/>
      <c r="H26" s="27"/>
      <c r="I26" s="136"/>
    </row>
    <row r="27" spans="1:9" x14ac:dyDescent="0.3">
      <c r="A27" s="27" t="s">
        <v>61</v>
      </c>
      <c r="B27" s="138" t="s">
        <v>235</v>
      </c>
      <c r="C27" s="27"/>
      <c r="E27" s="27"/>
      <c r="F27" s="136"/>
      <c r="H27" s="27"/>
      <c r="I27" s="136"/>
    </row>
    <row r="28" spans="1:9" x14ac:dyDescent="0.3">
      <c r="A28" s="27" t="s">
        <v>62</v>
      </c>
      <c r="B28" s="138" t="s">
        <v>236</v>
      </c>
      <c r="C28" s="27"/>
      <c r="E28" s="27"/>
      <c r="F28" s="136"/>
      <c r="H28" s="27"/>
      <c r="I28" s="136"/>
    </row>
    <row r="29" spans="1:9" x14ac:dyDescent="0.3">
      <c r="A29" s="27" t="s">
        <v>63</v>
      </c>
      <c r="B29" s="138" t="s">
        <v>238</v>
      </c>
      <c r="C29" s="27"/>
      <c r="E29" s="27"/>
      <c r="F29" s="136"/>
      <c r="H29" s="27"/>
      <c r="I29" s="136"/>
    </row>
    <row r="30" spans="1:9" x14ac:dyDescent="0.3">
      <c r="A30" s="27" t="s">
        <v>64</v>
      </c>
      <c r="B30" s="138" t="s">
        <v>202</v>
      </c>
      <c r="C30" s="27"/>
      <c r="D30" s="137"/>
      <c r="E30" s="27" t="s">
        <v>65</v>
      </c>
      <c r="F30" s="136" t="s">
        <v>203</v>
      </c>
      <c r="G30" s="137"/>
      <c r="H30" s="27" t="s">
        <v>59</v>
      </c>
      <c r="I30" s="136" t="s">
        <v>204</v>
      </c>
    </row>
    <row r="31" spans="1:9" x14ac:dyDescent="0.3">
      <c r="A31" s="27" t="s">
        <v>64</v>
      </c>
      <c r="B31" s="138" t="s">
        <v>202</v>
      </c>
      <c r="C31" s="27"/>
      <c r="E31" s="27"/>
      <c r="F31" s="136"/>
      <c r="H31" s="27"/>
      <c r="I31" s="136"/>
    </row>
    <row r="32" spans="1:9" x14ac:dyDescent="0.3">
      <c r="A32" s="27" t="s">
        <v>27</v>
      </c>
      <c r="B32" s="138" t="s">
        <v>198</v>
      </c>
      <c r="C32" s="27"/>
      <c r="D32" s="137"/>
      <c r="E32" s="27" t="s">
        <v>49</v>
      </c>
      <c r="F32" s="136" t="s">
        <v>152</v>
      </c>
      <c r="G32" s="137"/>
      <c r="H32" s="27" t="s">
        <v>48</v>
      </c>
      <c r="I32" s="136" t="s">
        <v>152</v>
      </c>
    </row>
    <row r="33" spans="1:9" x14ac:dyDescent="0.3">
      <c r="A33" s="27" t="s">
        <v>29</v>
      </c>
      <c r="B33" s="138" t="s">
        <v>228</v>
      </c>
      <c r="C33" s="27"/>
      <c r="E33" s="27"/>
      <c r="F33" s="136"/>
      <c r="H33" s="27"/>
      <c r="I33" s="136"/>
    </row>
    <row r="34" spans="1:9" x14ac:dyDescent="0.3">
      <c r="A34" s="27" t="s">
        <v>29</v>
      </c>
      <c r="B34" s="138" t="s">
        <v>228</v>
      </c>
      <c r="C34" s="27"/>
      <c r="E34" s="27"/>
      <c r="F34" s="136"/>
      <c r="H34" s="27"/>
      <c r="I34" s="136"/>
    </row>
    <row r="35" spans="1:9" x14ac:dyDescent="0.3">
      <c r="A35" s="27" t="s">
        <v>54</v>
      </c>
      <c r="B35" s="138" t="s">
        <v>229</v>
      </c>
      <c r="C35" s="27"/>
      <c r="E35" s="27"/>
      <c r="F35" s="136"/>
      <c r="H35" s="27"/>
      <c r="I35" s="136"/>
    </row>
    <row r="36" spans="1:9" x14ac:dyDescent="0.3">
      <c r="A36" s="27" t="s">
        <v>54</v>
      </c>
      <c r="B36" s="138" t="s">
        <v>229</v>
      </c>
      <c r="C36" s="27"/>
      <c r="E36" s="27"/>
      <c r="F36" s="136"/>
      <c r="H36" s="27"/>
      <c r="I36" s="136"/>
    </row>
    <row r="37" spans="1:9" x14ac:dyDescent="0.3">
      <c r="A37" s="27" t="s">
        <v>115</v>
      </c>
      <c r="B37" s="138" t="s">
        <v>230</v>
      </c>
      <c r="C37" s="27"/>
      <c r="E37" s="27"/>
      <c r="F37" s="136"/>
      <c r="H37" s="27"/>
      <c r="I37" s="136"/>
    </row>
    <row r="38" spans="1:9" x14ac:dyDescent="0.3">
      <c r="A38" s="27" t="s">
        <v>55</v>
      </c>
      <c r="B38" s="138" t="s">
        <v>230</v>
      </c>
      <c r="C38" s="27"/>
      <c r="E38" s="27"/>
      <c r="F38" s="136"/>
      <c r="H38" s="27"/>
      <c r="I38" s="136"/>
    </row>
    <row r="39" spans="1:9" x14ac:dyDescent="0.3">
      <c r="A39" s="27" t="s">
        <v>116</v>
      </c>
      <c r="B39" s="138" t="s">
        <v>231</v>
      </c>
      <c r="C39" s="27"/>
      <c r="E39" s="27"/>
      <c r="F39" s="136"/>
      <c r="H39" s="27"/>
      <c r="I39" s="136"/>
    </row>
    <row r="40" spans="1:9" x14ac:dyDescent="0.3">
      <c r="A40" s="27" t="s">
        <v>56</v>
      </c>
      <c r="B40" s="138" t="s">
        <v>231</v>
      </c>
      <c r="C40" s="27"/>
      <c r="E40" s="27"/>
      <c r="F40" s="136"/>
      <c r="H40" s="27"/>
      <c r="I40" s="136"/>
    </row>
    <row r="41" spans="1:9" x14ac:dyDescent="0.3">
      <c r="A41" s="27" t="s">
        <v>57</v>
      </c>
      <c r="B41" s="138" t="s">
        <v>232</v>
      </c>
      <c r="C41" s="27"/>
      <c r="E41" s="27"/>
      <c r="F41" s="136"/>
      <c r="H41" s="27"/>
      <c r="I41" s="136"/>
    </row>
    <row r="42" spans="1:9" x14ac:dyDescent="0.3">
      <c r="A42" s="27" t="s">
        <v>57</v>
      </c>
      <c r="B42" s="138" t="s">
        <v>232</v>
      </c>
      <c r="C42" s="27"/>
      <c r="E42" s="27"/>
      <c r="F42" s="136"/>
      <c r="H42" s="27"/>
      <c r="I42" s="136"/>
    </row>
    <row r="43" spans="1:9" x14ac:dyDescent="0.3">
      <c r="A43" s="27" t="s">
        <v>58</v>
      </c>
      <c r="B43" s="138" t="s">
        <v>233</v>
      </c>
      <c r="C43" s="27"/>
      <c r="E43" s="27"/>
      <c r="F43" s="136"/>
      <c r="H43" s="27"/>
      <c r="I43" s="136"/>
    </row>
    <row r="44" spans="1:9" x14ac:dyDescent="0.3">
      <c r="A44" s="27" t="s">
        <v>58</v>
      </c>
      <c r="B44" s="138" t="s">
        <v>233</v>
      </c>
      <c r="C44" s="27"/>
      <c r="E44" s="27"/>
      <c r="F44" s="136"/>
      <c r="H44" s="27"/>
      <c r="I44" s="136"/>
    </row>
    <row r="45" spans="1:9" x14ac:dyDescent="0.3">
      <c r="A45" s="27" t="s">
        <v>59</v>
      </c>
      <c r="B45" s="138" t="s">
        <v>237</v>
      </c>
      <c r="C45" s="27"/>
      <c r="E45" s="27"/>
      <c r="F45" s="136"/>
      <c r="H45" s="27"/>
      <c r="I45" s="136"/>
    </row>
    <row r="46" spans="1:9" x14ac:dyDescent="0.3">
      <c r="A46" s="27" t="s">
        <v>65</v>
      </c>
      <c r="B46" s="138" t="s">
        <v>234</v>
      </c>
      <c r="C46" s="27"/>
      <c r="E46" s="27"/>
      <c r="F46" s="136"/>
      <c r="H46" s="27"/>
      <c r="I46" s="136"/>
    </row>
    <row r="47" spans="1:9" x14ac:dyDescent="0.3">
      <c r="A47" s="27" t="s">
        <v>65</v>
      </c>
      <c r="B47" s="138" t="s">
        <v>234</v>
      </c>
      <c r="C47" s="27"/>
      <c r="E47" s="27"/>
      <c r="F47" s="136"/>
      <c r="H47" s="27"/>
      <c r="I47" s="136"/>
    </row>
    <row r="48" spans="1:9" x14ac:dyDescent="0.3">
      <c r="A48" s="27" t="s">
        <v>104</v>
      </c>
      <c r="B48" s="138" t="s">
        <v>175</v>
      </c>
      <c r="C48" s="27"/>
      <c r="D48" s="137"/>
      <c r="E48" s="27" t="s">
        <v>112</v>
      </c>
      <c r="F48" s="136" t="s">
        <v>175</v>
      </c>
      <c r="G48" s="137"/>
      <c r="H48" s="27"/>
      <c r="I48" s="136"/>
    </row>
    <row r="49" spans="1:9" x14ac:dyDescent="0.3">
      <c r="A49" s="27" t="s">
        <v>30</v>
      </c>
      <c r="B49" s="138" t="s">
        <v>207</v>
      </c>
      <c r="C49" s="27"/>
      <c r="D49" s="137"/>
      <c r="E49" s="27"/>
      <c r="F49" s="136"/>
      <c r="G49" s="137"/>
      <c r="H49" s="27"/>
      <c r="I49" s="136"/>
    </row>
    <row r="50" spans="1:9" x14ac:dyDescent="0.3">
      <c r="A50" s="27" t="s">
        <v>31</v>
      </c>
      <c r="B50" s="138" t="s">
        <v>208</v>
      </c>
      <c r="C50" s="27"/>
      <c r="D50" s="137"/>
      <c r="E50" s="27" t="s">
        <v>68</v>
      </c>
      <c r="F50" s="136" t="s">
        <v>209</v>
      </c>
      <c r="G50" s="137"/>
      <c r="H50" s="27"/>
      <c r="I50" s="136"/>
    </row>
    <row r="51" spans="1:9" x14ac:dyDescent="0.3">
      <c r="A51" s="27" t="s">
        <v>32</v>
      </c>
      <c r="B51" s="138" t="s">
        <v>210</v>
      </c>
      <c r="C51" s="27"/>
      <c r="D51" s="137"/>
      <c r="E51" s="27" t="s">
        <v>69</v>
      </c>
      <c r="F51" s="136" t="s">
        <v>211</v>
      </c>
      <c r="G51" s="137"/>
      <c r="H51" s="27"/>
      <c r="I51" s="136"/>
    </row>
    <row r="52" spans="1:9" x14ac:dyDescent="0.3">
      <c r="A52" s="27" t="s">
        <v>52</v>
      </c>
      <c r="B52" s="138" t="s">
        <v>201</v>
      </c>
      <c r="C52" s="27"/>
      <c r="D52" s="137"/>
      <c r="E52" s="27"/>
      <c r="F52" s="136"/>
      <c r="G52" s="137"/>
      <c r="H52" s="27"/>
      <c r="I52" s="136"/>
    </row>
    <row r="53" spans="1:9" x14ac:dyDescent="0.3">
      <c r="A53" s="27" t="s">
        <v>88</v>
      </c>
      <c r="B53" s="138" t="s">
        <v>158</v>
      </c>
      <c r="C53" s="27"/>
      <c r="D53" s="137"/>
      <c r="E53" s="27" t="s">
        <v>157</v>
      </c>
      <c r="F53" s="138" t="s">
        <v>158</v>
      </c>
      <c r="G53" s="137"/>
      <c r="H53" s="27"/>
      <c r="I53" s="136"/>
    </row>
    <row r="54" spans="1:9" x14ac:dyDescent="0.3">
      <c r="A54" s="28" t="s">
        <v>70</v>
      </c>
      <c r="B54" s="26" t="s">
        <v>212</v>
      </c>
      <c r="D54" s="137"/>
      <c r="G54" s="137"/>
    </row>
    <row r="55" spans="1:9" x14ac:dyDescent="0.3">
      <c r="A55" s="28" t="s">
        <v>51</v>
      </c>
      <c r="B55" s="26" t="s">
        <v>200</v>
      </c>
      <c r="D55" s="137"/>
      <c r="E55" s="28" t="s">
        <v>51</v>
      </c>
      <c r="F55" s="26" t="s">
        <v>200</v>
      </c>
      <c r="G55" s="137"/>
    </row>
    <row r="56" spans="1:9" x14ac:dyDescent="0.3">
      <c r="A56" s="28" t="s">
        <v>80</v>
      </c>
      <c r="B56" s="139" t="s">
        <v>126</v>
      </c>
      <c r="D56" s="137"/>
      <c r="E56" s="28" t="s">
        <v>125</v>
      </c>
      <c r="F56" s="139" t="s">
        <v>126</v>
      </c>
      <c r="G56" s="137"/>
    </row>
    <row r="57" spans="1:9" x14ac:dyDescent="0.3">
      <c r="A57" s="28" t="s">
        <v>18</v>
      </c>
      <c r="B57" s="26" t="s">
        <v>192</v>
      </c>
      <c r="D57" s="137"/>
      <c r="E57" s="28" t="s">
        <v>46</v>
      </c>
      <c r="F57" s="26" t="s">
        <v>193</v>
      </c>
      <c r="G57" s="137"/>
      <c r="H57" s="28" t="s">
        <v>120</v>
      </c>
      <c r="I57" s="26" t="s">
        <v>241</v>
      </c>
    </row>
    <row r="58" spans="1:9" x14ac:dyDescent="0.3">
      <c r="A58" s="28" t="s">
        <v>19</v>
      </c>
      <c r="B58" s="26" t="s">
        <v>194</v>
      </c>
      <c r="D58" s="137"/>
      <c r="E58" s="28" t="s">
        <v>47</v>
      </c>
      <c r="F58" s="26" t="s">
        <v>195</v>
      </c>
      <c r="G58" s="137"/>
    </row>
    <row r="59" spans="1:9" x14ac:dyDescent="0.3">
      <c r="A59" s="28" t="s">
        <v>148</v>
      </c>
      <c r="B59" s="26" t="s">
        <v>149</v>
      </c>
      <c r="D59" s="137"/>
      <c r="E59" s="28" t="s">
        <v>85</v>
      </c>
      <c r="F59" s="26" t="s">
        <v>223</v>
      </c>
      <c r="G59" s="137"/>
      <c r="H59" s="28" t="s">
        <v>240</v>
      </c>
      <c r="I59" s="26" t="s">
        <v>242</v>
      </c>
    </row>
    <row r="60" spans="1:9" x14ac:dyDescent="0.3">
      <c r="A60" s="28" t="s">
        <v>92</v>
      </c>
      <c r="B60" s="26" t="s">
        <v>162</v>
      </c>
      <c r="D60" s="137"/>
      <c r="G60" s="137"/>
    </row>
    <row r="61" spans="1:9" x14ac:dyDescent="0.3">
      <c r="A61" s="28" t="s">
        <v>91</v>
      </c>
      <c r="B61" s="26" t="s">
        <v>161</v>
      </c>
      <c r="D61" s="137"/>
      <c r="G61" s="137"/>
    </row>
    <row r="62" spans="1:9" x14ac:dyDescent="0.3">
      <c r="A62" s="28" t="s">
        <v>95</v>
      </c>
      <c r="B62" s="26" t="s">
        <v>225</v>
      </c>
      <c r="D62" s="137"/>
      <c r="G62" s="137"/>
    </row>
    <row r="63" spans="1:9" x14ac:dyDescent="0.3">
      <c r="A63" s="28" t="s">
        <v>74</v>
      </c>
      <c r="B63" s="26" t="s">
        <v>215</v>
      </c>
      <c r="D63" s="137"/>
      <c r="E63" s="28" t="s">
        <v>74</v>
      </c>
      <c r="F63" s="26" t="s">
        <v>215</v>
      </c>
      <c r="G63" s="137"/>
      <c r="H63" s="28" t="s">
        <v>75</v>
      </c>
      <c r="I63" s="26" t="s">
        <v>216</v>
      </c>
    </row>
    <row r="64" spans="1:9" x14ac:dyDescent="0.3">
      <c r="A64" s="28" t="s">
        <v>76</v>
      </c>
      <c r="B64" s="26" t="s">
        <v>145</v>
      </c>
      <c r="D64" s="137"/>
      <c r="E64" s="28" t="s">
        <v>36</v>
      </c>
      <c r="F64" s="26" t="s">
        <v>217</v>
      </c>
      <c r="G64" s="137"/>
      <c r="H64" s="28" t="s">
        <v>77</v>
      </c>
      <c r="I64" s="26" t="s">
        <v>145</v>
      </c>
    </row>
    <row r="65" spans="1:9" x14ac:dyDescent="0.3">
      <c r="A65" s="28" t="s">
        <v>34</v>
      </c>
      <c r="B65" s="26" t="s">
        <v>190</v>
      </c>
      <c r="D65" s="137"/>
      <c r="G65" s="137"/>
    </row>
    <row r="66" spans="1:9" x14ac:dyDescent="0.3">
      <c r="A66" s="28" t="s">
        <v>86</v>
      </c>
      <c r="B66" s="26" t="s">
        <v>224</v>
      </c>
      <c r="D66" s="137"/>
      <c r="E66" s="28" t="s">
        <v>153</v>
      </c>
      <c r="F66" s="26" t="s">
        <v>154</v>
      </c>
      <c r="G66" s="137"/>
    </row>
    <row r="67" spans="1:9" x14ac:dyDescent="0.3">
      <c r="A67" s="28" t="s">
        <v>45</v>
      </c>
      <c r="B67" s="26" t="s">
        <v>188</v>
      </c>
      <c r="D67" s="137"/>
      <c r="E67" s="28" t="s">
        <v>33</v>
      </c>
      <c r="F67" s="26" t="s">
        <v>189</v>
      </c>
      <c r="G67" s="137"/>
      <c r="H67" s="28" t="s">
        <v>44</v>
      </c>
      <c r="I67" s="26" t="s">
        <v>189</v>
      </c>
    </row>
    <row r="68" spans="1:9" x14ac:dyDescent="0.3">
      <c r="A68" s="28" t="s">
        <v>93</v>
      </c>
      <c r="B68" s="26" t="s">
        <v>163</v>
      </c>
      <c r="D68" s="137"/>
      <c r="G68" s="137"/>
    </row>
    <row r="69" spans="1:9" x14ac:dyDescent="0.3">
      <c r="A69" s="28" t="s">
        <v>82</v>
      </c>
      <c r="B69" s="26" t="s">
        <v>221</v>
      </c>
      <c r="D69" s="137"/>
      <c r="G69" s="137"/>
    </row>
    <row r="70" spans="1:9" x14ac:dyDescent="0.3">
      <c r="A70" s="28" t="s">
        <v>103</v>
      </c>
      <c r="B70" s="26" t="s">
        <v>174</v>
      </c>
      <c r="D70" s="137"/>
      <c r="E70" s="28" t="s">
        <v>173</v>
      </c>
      <c r="F70" s="26" t="s">
        <v>174</v>
      </c>
      <c r="G70" s="137"/>
    </row>
    <row r="71" spans="1:9" x14ac:dyDescent="0.3">
      <c r="A71" s="28" t="s">
        <v>96</v>
      </c>
      <c r="B71" s="26" t="s">
        <v>165</v>
      </c>
      <c r="D71" s="137"/>
      <c r="G71" s="137"/>
    </row>
    <row r="72" spans="1:9" x14ac:dyDescent="0.3">
      <c r="A72" s="28" t="s">
        <v>94</v>
      </c>
      <c r="B72" s="26" t="s">
        <v>164</v>
      </c>
      <c r="D72" s="137"/>
      <c r="E72" s="28" t="s">
        <v>114</v>
      </c>
      <c r="F72" s="26" t="s">
        <v>164</v>
      </c>
      <c r="G72" s="137"/>
    </row>
    <row r="73" spans="1:9" x14ac:dyDescent="0.3">
      <c r="A73" s="28" t="s">
        <v>98</v>
      </c>
      <c r="B73" s="26" t="s">
        <v>167</v>
      </c>
      <c r="D73" s="137"/>
      <c r="G73" s="137"/>
    </row>
    <row r="74" spans="1:9" x14ac:dyDescent="0.3">
      <c r="A74" s="28" t="s">
        <v>141</v>
      </c>
      <c r="B74" s="26" t="s">
        <v>142</v>
      </c>
    </row>
    <row r="75" spans="1:9" x14ac:dyDescent="0.3">
      <c r="A75" s="28" t="s">
        <v>143</v>
      </c>
      <c r="B75" s="26" t="s">
        <v>144</v>
      </c>
    </row>
    <row r="76" spans="1:9" x14ac:dyDescent="0.3">
      <c r="A76" s="28" t="s">
        <v>166</v>
      </c>
      <c r="B76" s="26" t="s">
        <v>167</v>
      </c>
    </row>
    <row r="77" spans="1:9" x14ac:dyDescent="0.3">
      <c r="A77" s="28" t="s">
        <v>176</v>
      </c>
      <c r="B77" s="26" t="s">
        <v>177</v>
      </c>
    </row>
    <row r="78" spans="1:9" x14ac:dyDescent="0.3">
      <c r="A78" s="28" t="s">
        <v>178</v>
      </c>
      <c r="B78" s="26" t="s">
        <v>179</v>
      </c>
    </row>
    <row r="79" spans="1:9" x14ac:dyDescent="0.3">
      <c r="A79" s="28" t="s">
        <v>180</v>
      </c>
      <c r="B79" s="26" t="s">
        <v>181</v>
      </c>
    </row>
  </sheetData>
  <sheetProtection selectLockedCells="1"/>
  <protectedRanges>
    <protectedRange sqref="D2:D3 G2:G3" name="Rango1_1"/>
  </protectedRanges>
  <autoFilter ref="A1:I27" xr:uid="{00000000-0009-0000-0000-000003000000}">
    <sortState xmlns:xlrd2="http://schemas.microsoft.com/office/spreadsheetml/2017/richdata2" ref="A2:I73">
      <sortCondition ref="B1:B27"/>
    </sortState>
  </autoFilter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Balance</vt:lpstr>
      <vt:lpstr>Notas</vt:lpstr>
      <vt:lpstr>Optativas</vt:lpstr>
      <vt:lpstr>Equivalencia</vt:lpstr>
      <vt:lpstr>Balance!Área_de_impresión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JEFE ESTADISTICA ENAP - BEYTY CAMARGO</dc:creator>
  <cp:keywords/>
  <dc:description/>
  <cp:lastModifiedBy>BEYTY CAMARGO MARTINEZ</cp:lastModifiedBy>
  <cp:revision/>
  <cp:lastPrinted>2026-03-17T14:36:17Z</cp:lastPrinted>
  <dcterms:created xsi:type="dcterms:W3CDTF">2024-08-29T16:28:19Z</dcterms:created>
  <dcterms:modified xsi:type="dcterms:W3CDTF">2026-09-15T20:58:59Z</dcterms:modified>
  <cp:category/>
  <cp:contentStatus/>
</cp:coreProperties>
</file>
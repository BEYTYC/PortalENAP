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0" documentId="13_ncr:3_{C4C8B8F3-5F9F-46EB-BFF7-EF3E6F6AE9E9}" xr6:coauthVersionLast="47" xr6:coauthVersionMax="47" xr10:uidLastSave="{00000000-0000-0000-0000-000000000000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Balance!$C$11:$L$27</definedName>
    <definedName name="_xlnm._FilterDatabase" localSheetId="3" hidden="1">Equivalencia!$A$1:$I$27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J29" i="1" l="1"/>
  <c r="L9" i="1"/>
  <c r="G17" i="1" s="1"/>
  <c r="G24" i="1" l="1"/>
  <c r="G23" i="1"/>
  <c r="H23" i="1" s="1"/>
  <c r="G26" i="1"/>
  <c r="H26" i="1" s="1"/>
  <c r="G22" i="1"/>
  <c r="H22" i="1" s="1"/>
  <c r="G20" i="1"/>
  <c r="H20" i="1" s="1"/>
  <c r="G19" i="1"/>
  <c r="H19" i="1" s="1"/>
  <c r="G18" i="1"/>
  <c r="H18" i="1" s="1"/>
  <c r="G21" i="1"/>
  <c r="K21" i="1" s="1"/>
  <c r="G16" i="1"/>
  <c r="H16" i="1" s="1"/>
  <c r="G15" i="1"/>
  <c r="K15" i="1" s="1"/>
  <c r="G14" i="1"/>
  <c r="K14" i="1" s="1"/>
  <c r="G13" i="1"/>
  <c r="H13" i="1" s="1"/>
  <c r="G27" i="1"/>
  <c r="H27" i="1" s="1"/>
  <c r="G25" i="1"/>
  <c r="H17" i="1"/>
  <c r="H25" i="1"/>
  <c r="H21" i="1"/>
  <c r="L21" i="1"/>
  <c r="H24" i="1"/>
  <c r="G12" i="1"/>
  <c r="K12" i="1" s="1"/>
  <c r="H4" i="7"/>
  <c r="H5" i="7"/>
  <c r="H6" i="7"/>
  <c r="H7" i="7"/>
  <c r="H8" i="7"/>
  <c r="H9" i="7"/>
  <c r="H10" i="7"/>
  <c r="H11" i="7"/>
  <c r="H12" i="7"/>
  <c r="H13" i="7"/>
  <c r="L14" i="1" l="1"/>
  <c r="L15" i="1"/>
  <c r="H15" i="1"/>
  <c r="H14" i="1"/>
  <c r="L19" i="1"/>
  <c r="K19" i="1"/>
  <c r="L20" i="1"/>
  <c r="K20" i="1"/>
  <c r="L22" i="1"/>
  <c r="K22" i="1"/>
  <c r="L27" i="1"/>
  <c r="K27" i="1"/>
  <c r="L17" i="1"/>
  <c r="K17" i="1"/>
  <c r="L23" i="1"/>
  <c r="K23" i="1"/>
  <c r="L24" i="1"/>
  <c r="K24" i="1"/>
  <c r="L18" i="1"/>
  <c r="K18" i="1"/>
  <c r="L16" i="1"/>
  <c r="K16" i="1"/>
  <c r="L26" i="1"/>
  <c r="K26" i="1"/>
  <c r="L25" i="1"/>
  <c r="K25" i="1"/>
  <c r="L13" i="1"/>
  <c r="K13" i="1"/>
  <c r="L12" i="1"/>
  <c r="C5" i="7"/>
  <c r="C6" i="7"/>
  <c r="C7" i="7"/>
  <c r="C8" i="7"/>
  <c r="C9" i="7"/>
  <c r="C10" i="7"/>
  <c r="C11" i="7"/>
  <c r="C12" i="7"/>
  <c r="C13" i="7"/>
  <c r="C4" i="7"/>
  <c r="L8" i="1" l="1"/>
  <c r="H12" i="1"/>
  <c r="J30" i="1"/>
</calcChain>
</file>

<file path=xl/sharedStrings.xml><?xml version="1.0" encoding="utf-8"?>
<sst xmlns="http://schemas.openxmlformats.org/spreadsheetml/2006/main" count="116" uniqueCount="77">
  <si>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</si>
  <si>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</si>
  <si>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</si>
  <si>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</si>
  <si>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</si>
  <si>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</si>
  <si>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</si>
  <si>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</si>
  <si>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</si>
  <si>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</si>
  <si>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</si>
  <si>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</si>
  <si>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</si>
  <si>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</si>
  <si>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</si>
  <si>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</si>
  <si>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</si>
  <si>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</si>
  <si>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</si>
  <si>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</si>
  <si>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</si>
  <si>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</si>
  <si>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</si>
  <si>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</si>
  <si>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INGENIERÍA NAVAL</t>
  </si>
  <si>
    <t>TOTAl CRÉDITOS PROGRAMA</t>
  </si>
  <si>
    <t xml:space="preserve">OBSERVACIONES: </t>
  </si>
  <si>
    <t>MOF313</t>
  </si>
  <si>
    <t>MOF314</t>
  </si>
  <si>
    <t>MOF116</t>
  </si>
  <si>
    <t>MOF119</t>
  </si>
  <si>
    <t>MOF109</t>
  </si>
  <si>
    <t>MOF305</t>
  </si>
  <si>
    <t xml:space="preserve"> MATLAB PARA OCEANOGRÁFOS</t>
  </si>
  <si>
    <t xml:space="preserve"> MODELACIÓN NUMÉRICA</t>
  </si>
  <si>
    <t xml:space="preserve"> MODELACIÓN PROCESOS COSTEROS</t>
  </si>
  <si>
    <t xml:space="preserve"> OCEANOGRAFÍA DINÁMICA</t>
  </si>
  <si>
    <t xml:space="preserve"> CRUCERO OCEANOGRÁFICO</t>
  </si>
  <si>
    <t xml:space="preserve"> HIDROACÚSTICA</t>
  </si>
  <si>
    <t xml:space="preserve"> ANÁLISIS DE SERIES DE TIEMPO</t>
  </si>
  <si>
    <t>OF303</t>
  </si>
  <si>
    <t>MAESTRÍA EN INGENIERÍA</t>
  </si>
  <si>
    <t>MI100</t>
  </si>
  <si>
    <t>MI101</t>
  </si>
  <si>
    <t>MI102</t>
  </si>
  <si>
    <t>MI105</t>
  </si>
  <si>
    <t>MI106</t>
  </si>
  <si>
    <t>MI107</t>
  </si>
  <si>
    <t>MI202</t>
  </si>
  <si>
    <t>MI203</t>
  </si>
  <si>
    <t>MI204</t>
  </si>
  <si>
    <t>MI300</t>
  </si>
  <si>
    <t>MI307</t>
  </si>
  <si>
    <t>MI308</t>
  </si>
  <si>
    <t>MI103</t>
  </si>
  <si>
    <t>MI104</t>
  </si>
  <si>
    <t>MI403</t>
  </si>
  <si>
    <t>MI404</t>
  </si>
  <si>
    <t>Componente Básico</t>
  </si>
  <si>
    <t>Componente de Profundización</t>
  </si>
  <si>
    <t>Componente de Investigación</t>
  </si>
  <si>
    <t>ANÁLISIS Y DISEÑO DE EXPERIMENTOS</t>
  </si>
  <si>
    <t>MATEMÁTICAS AVANZADAS PARA INGENIEROS</t>
  </si>
  <si>
    <t>MECÁNICA COMPUTACIONAL</t>
  </si>
  <si>
    <t>HERRAMIENTAS COMPUTACIONALES I</t>
  </si>
  <si>
    <t>HERRAMIENTAS COMPUTACIONALES II</t>
  </si>
  <si>
    <t>HERRAMIENTAS COMPUTACIONALES III</t>
  </si>
  <si>
    <t>DISEÑO NAVAL AVANZADO</t>
  </si>
  <si>
    <t>ANÁLISIS AVANZADO DE ESTRUCTURAS NAVALES</t>
  </si>
  <si>
    <t>DINÁMICA DE BUQUES</t>
  </si>
  <si>
    <t>SISTEMAS DE PROPULSIÓN</t>
  </si>
  <si>
    <t>ELECTIVA I</t>
  </si>
  <si>
    <t>ELECTIVA II</t>
  </si>
  <si>
    <t>INVESTIGACIÓN I</t>
  </si>
  <si>
    <t>INVESTIGACIÓN II</t>
  </si>
  <si>
    <t>SEMINARIOS</t>
  </si>
  <si>
    <t>TESIS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</si>
</sst>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u/>
      <sz val="9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1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" fontId="8" fillId="0" borderId="2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/>
    </xf>
    <xf numFmtId="1" fontId="6" fillId="0" borderId="47" xfId="0" applyNumberFormat="1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7" xfId="0" applyFont="1" applyBorder="1" applyAlignment="1">
      <alignment horizontal="left" vertical="center"/>
    </xf>
    <xf numFmtId="0" fontId="0" fillId="7" borderId="13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16" fillId="0" borderId="32" xfId="2" applyFont="1" applyBorder="1" applyAlignment="1">
      <alignment horizontal="center" vertical="center"/>
    </xf>
    <xf numFmtId="0" fontId="16" fillId="0" borderId="39" xfId="1" applyNumberFormat="1" applyFont="1" applyBorder="1" applyAlignment="1">
      <alignment vertical="center"/>
    </xf>
    <xf numFmtId="1" fontId="16" fillId="0" borderId="28" xfId="2" applyNumberFormat="1" applyFont="1" applyBorder="1" applyAlignment="1">
      <alignment horizontal="center" vertical="center"/>
    </xf>
    <xf numFmtId="164" fontId="16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0" fontId="16" fillId="0" borderId="42" xfId="1" applyNumberFormat="1" applyFont="1" applyBorder="1" applyAlignment="1">
      <alignment vertical="center"/>
    </xf>
    <xf numFmtId="0" fontId="16" fillId="0" borderId="34" xfId="2" applyFont="1" applyBorder="1" applyAlignment="1">
      <alignment horizontal="center" vertical="center"/>
    </xf>
    <xf numFmtId="1" fontId="16" fillId="0" borderId="34" xfId="2" applyNumberFormat="1" applyFont="1" applyBorder="1" applyAlignment="1">
      <alignment horizontal="center" vertical="center"/>
    </xf>
    <xf numFmtId="164" fontId="16" fillId="0" borderId="34" xfId="2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44" fontId="16" fillId="0" borderId="32" xfId="1" applyFont="1" applyBorder="1" applyAlignment="1">
      <alignment vertical="center"/>
    </xf>
    <xf numFmtId="44" fontId="16" fillId="0" borderId="35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7" xfId="0" applyFont="1" applyBorder="1" applyAlignment="1">
      <alignment horizontal="center" vertical="center" textRotation="90" wrapText="1"/>
    </xf>
    <xf numFmtId="0" fontId="11" fillId="0" borderId="53" xfId="0" applyFont="1" applyBorder="1" applyAlignment="1">
      <alignment horizontal="center" vertical="center" textRotation="90" wrapText="1"/>
    </xf>
    <xf numFmtId="0" fontId="3" fillId="0" borderId="16" xfId="0" applyFont="1" applyBorder="1" applyAlignment="1">
      <alignment vertical="center"/>
    </xf>
    <xf numFmtId="44" fontId="16" fillId="0" borderId="39" xfId="1" applyFont="1" applyBorder="1" applyAlignment="1">
      <alignment vertical="center"/>
    </xf>
    <xf numFmtId="44" fontId="16" fillId="0" borderId="42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9" xfId="0" applyNumberFormat="1" applyFont="1" applyBorder="1" applyAlignment="1">
      <alignment horizontal="left" vertical="center"/>
    </xf>
    <xf numFmtId="0" fontId="16" fillId="0" borderId="57" xfId="2" applyFont="1" applyBorder="1" applyAlignment="1">
      <alignment horizontal="center" vertical="center"/>
    </xf>
    <xf numFmtId="1" fontId="16" fillId="0" borderId="57" xfId="2" applyNumberFormat="1" applyFont="1" applyBorder="1" applyAlignment="1">
      <alignment horizontal="center" vertical="center"/>
    </xf>
    <xf numFmtId="164" fontId="16" fillId="0" borderId="57" xfId="2" applyNumberFormat="1" applyFont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" vertical="center"/>
    </xf>
    <xf numFmtId="0" fontId="16" fillId="0" borderId="59" xfId="2" applyFont="1" applyBorder="1" applyAlignment="1">
      <alignment horizontal="center" vertical="center"/>
    </xf>
    <xf numFmtId="44" fontId="16" fillId="0" borderId="59" xfId="1" applyFont="1" applyBorder="1" applyAlignment="1">
      <alignment vertical="center"/>
    </xf>
    <xf numFmtId="0" fontId="16" fillId="0" borderId="60" xfId="1" applyNumberFormat="1" applyFont="1" applyBorder="1" applyAlignment="1">
      <alignment vertical="center"/>
    </xf>
    <xf numFmtId="0" fontId="16" fillId="0" borderId="61" xfId="2" applyFont="1" applyBorder="1" applyAlignment="1">
      <alignment horizontal="center" vertical="center"/>
    </xf>
    <xf numFmtId="44" fontId="16" fillId="0" borderId="60" xfId="1" applyFont="1" applyBorder="1" applyAlignment="1">
      <alignment vertical="center"/>
    </xf>
    <xf numFmtId="1" fontId="16" fillId="0" borderId="61" xfId="2" applyNumberFormat="1" applyFont="1" applyBorder="1" applyAlignment="1">
      <alignment horizontal="center" vertical="center"/>
    </xf>
    <xf numFmtId="164" fontId="16" fillId="0" borderId="61" xfId="2" applyNumberFormat="1" applyFont="1" applyBorder="1" applyAlignment="1">
      <alignment horizontal="center" vertical="center"/>
    </xf>
    <xf numFmtId="164" fontId="6" fillId="0" borderId="61" xfId="0" applyNumberFormat="1" applyFont="1" applyBorder="1" applyAlignment="1">
      <alignment horizontal="center" vertical="center"/>
    </xf>
    <xf numFmtId="0" fontId="16" fillId="0" borderId="63" xfId="2" applyFont="1" applyBorder="1" applyAlignment="1">
      <alignment horizontal="center" vertical="center"/>
    </xf>
    <xf numFmtId="44" fontId="16" fillId="0" borderId="63" xfId="1" applyFont="1" applyBorder="1" applyAlignment="1">
      <alignment vertical="center"/>
    </xf>
    <xf numFmtId="0" fontId="16" fillId="0" borderId="64" xfId="1" applyNumberFormat="1" applyFont="1" applyBorder="1" applyAlignment="1">
      <alignment vertical="center"/>
    </xf>
    <xf numFmtId="0" fontId="16" fillId="0" borderId="65" xfId="2" applyFont="1" applyBorder="1" applyAlignment="1">
      <alignment horizontal="center" vertical="center"/>
    </xf>
    <xf numFmtId="44" fontId="16" fillId="0" borderId="64" xfId="1" applyFont="1" applyBorder="1" applyAlignment="1">
      <alignment vertical="center"/>
    </xf>
    <xf numFmtId="1" fontId="16" fillId="0" borderId="65" xfId="2" applyNumberFormat="1" applyFont="1" applyBorder="1" applyAlignment="1">
      <alignment horizontal="center" vertical="center"/>
    </xf>
    <xf numFmtId="164" fontId="16" fillId="0" borderId="65" xfId="2" applyNumberFormat="1" applyFont="1" applyBorder="1" applyAlignment="1">
      <alignment horizontal="center" vertical="center"/>
    </xf>
    <xf numFmtId="164" fontId="6" fillId="0" borderId="65" xfId="0" applyNumberFormat="1" applyFont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1" fontId="7" fillId="5" borderId="18" xfId="0" applyNumberFormat="1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18" fillId="0" borderId="42" xfId="1" applyNumberFormat="1" applyFont="1" applyBorder="1" applyAlignment="1">
      <alignment vertical="center"/>
    </xf>
    <xf numFmtId="0" fontId="16" fillId="0" borderId="28" xfId="2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16" fillId="0" borderId="29" xfId="2" applyFont="1" applyBorder="1" applyAlignment="1">
      <alignment horizontal="center" vertical="center"/>
    </xf>
    <xf numFmtId="44" fontId="16" fillId="0" borderId="29" xfId="1" applyFont="1" applyBorder="1" applyAlignment="1">
      <alignment vertical="center"/>
    </xf>
    <xf numFmtId="0" fontId="16" fillId="0" borderId="31" xfId="1" applyNumberFormat="1" applyFont="1" applyBorder="1" applyAlignment="1">
      <alignment vertical="center"/>
    </xf>
    <xf numFmtId="44" fontId="16" fillId="0" borderId="31" xfId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14" fillId="5" borderId="55" xfId="0" applyFont="1" applyFill="1" applyBorder="1" applyAlignment="1">
      <alignment horizontal="center" vertical="center" textRotation="90" wrapText="1"/>
    </xf>
    <xf numFmtId="0" fontId="14" fillId="5" borderId="56" xfId="0" applyFont="1" applyFill="1" applyBorder="1" applyAlignment="1">
      <alignment horizontal="center" vertical="center" textRotation="90" wrapText="1"/>
    </xf>
    <xf numFmtId="0" fontId="14" fillId="5" borderId="58" xfId="0" applyFont="1" applyFill="1" applyBorder="1" applyAlignment="1">
      <alignment horizontal="center" vertical="center" textRotation="90" wrapText="1"/>
    </xf>
    <xf numFmtId="0" fontId="14" fillId="5" borderId="62" xfId="0" applyFont="1" applyFill="1" applyBorder="1" applyAlignment="1">
      <alignment horizontal="center" vertical="center" textRotation="90" wrapText="1"/>
    </xf>
    <xf numFmtId="0" fontId="6" fillId="0" borderId="38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44" fontId="7" fillId="5" borderId="25" xfId="1" applyFont="1" applyFill="1" applyBorder="1" applyAlignment="1">
      <alignment horizontal="left" vertical="center"/>
    </xf>
    <xf numFmtId="44" fontId="7" fillId="5" borderId="27" xfId="1" applyFont="1" applyFill="1" applyBorder="1" applyAlignment="1">
      <alignment horizontal="left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7" fillId="0" borderId="23" xfId="1" applyNumberFormat="1" applyFont="1" applyBorder="1" applyAlignment="1">
      <alignment horizontal="left" vertical="center" wrapText="1" indent="1"/>
    </xf>
    <xf numFmtId="0" fontId="7" fillId="0" borderId="2" xfId="1" applyNumberFormat="1" applyFont="1" applyBorder="1" applyAlignment="1">
      <alignment horizontal="left" vertical="center" wrapText="1" indent="1"/>
    </xf>
    <xf numFmtId="0" fontId="7" fillId="0" borderId="32" xfId="1" applyNumberFormat="1" applyFont="1" applyBorder="1" applyAlignment="1">
      <alignment horizontal="left" vertical="center" wrapText="1" indent="1"/>
    </xf>
    <xf numFmtId="0" fontId="7" fillId="0" borderId="33" xfId="1" applyNumberFormat="1" applyFont="1" applyBorder="1" applyAlignment="1">
      <alignment horizontal="left" vertical="center" wrapText="1" indent="1"/>
    </xf>
    <xf numFmtId="0" fontId="17" fillId="0" borderId="19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3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0" fontId="7" fillId="0" borderId="32" xfId="1" applyNumberFormat="1" applyFont="1" applyBorder="1" applyAlignment="1">
      <alignment horizontal="left" vertical="center" indent="1"/>
    </xf>
    <xf numFmtId="0" fontId="7" fillId="0" borderId="33" xfId="1" applyNumberFormat="1" applyFont="1" applyBorder="1" applyAlignment="1">
      <alignment horizontal="left" vertical="center" indent="1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1" fillId="0" borderId="24" xfId="0" applyFont="1" applyBorder="1" applyAlignment="1">
      <alignment horizontal="center" vertical="center" textRotation="90"/>
    </xf>
    <xf numFmtId="0" fontId="7" fillId="0" borderId="23" xfId="1" applyNumberFormat="1" applyFont="1" applyBorder="1" applyAlignment="1">
      <alignment horizontal="left" vertical="center" indent="1"/>
    </xf>
    <xf numFmtId="0" fontId="7" fillId="0" borderId="2" xfId="1" applyNumberFormat="1" applyFont="1" applyBorder="1" applyAlignment="1">
      <alignment horizontal="lef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7" fillId="2" borderId="32" xfId="0" applyNumberFormat="1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4" xfId="0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9" fillId="2" borderId="3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23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24" xfId="0" applyNumberFormat="1" applyFont="1" applyBorder="1" applyAlignment="1">
      <alignment horizontal="left" vertical="top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9" fillId="2" borderId="43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0"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42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275170" y="1"/>
          <a:ext cx="9623453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1164860</xdr:colOff>
      <xdr:row>10</xdr:row>
      <xdr:rowOff>30480</xdr:rowOff>
    </xdr:from>
    <xdr:to>
      <xdr:col>8</xdr:col>
      <xdr:colOff>1709057</xdr:colOff>
      <xdr:row>31</xdr:row>
      <xdr:rowOff>53339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5774" y="2545080"/>
          <a:ext cx="3940540" cy="56072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3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E35" sqref="E35:G38"/>
    </sheetView>
  </sheetViews>
  <sheetFormatPr baseColWidth="10" defaultColWidth="11.109375" defaultRowHeight="12" x14ac:dyDescent="0.3"/>
  <cols>
    <col min="1" max="1" width="18.5546875" style="50" customWidth="1"/>
    <col min="2" max="2" width="4.44140625" style="34" customWidth="1"/>
    <col min="3" max="3" width="4.44140625" style="72" customWidth="1"/>
    <col min="4" max="4" width="8.88671875" style="34" customWidth="1"/>
    <col min="5" max="5" width="6.88671875" style="35" customWidth="1"/>
    <col min="6" max="6" width="31.33203125" style="35" customWidth="1"/>
    <col min="7" max="7" width="8.88671875" style="34" customWidth="1"/>
    <col min="8" max="8" width="9.33203125" style="35" customWidth="1"/>
    <col min="9" max="9" width="31.33203125" style="35" customWidth="1"/>
    <col min="10" max="10" width="10.109375" style="36" customWidth="1"/>
    <col min="11" max="12" width="10.109375" style="34" customWidth="1"/>
    <col min="13" max="13" width="4.44140625" style="34" customWidth="1"/>
    <col min="14" max="14" width="5.44140625" style="34" customWidth="1"/>
    <col min="15" max="16384" width="11.109375" style="34"/>
  </cols>
  <sheetData>
    <row r="1" spans="2:13" ht="70.95" customHeight="1" x14ac:dyDescent="0.3"/>
    <row r="2" spans="2:13" ht="25.95" customHeight="1" x14ac:dyDescent="0.3">
      <c r="B2" s="40"/>
      <c r="C2" s="73"/>
      <c r="D2" s="37"/>
      <c r="E2" s="38"/>
      <c r="F2" s="56"/>
      <c r="G2" s="37"/>
      <c r="H2" s="38"/>
      <c r="I2" s="38"/>
      <c r="J2" s="39"/>
      <c r="K2" s="37"/>
      <c r="L2" s="37"/>
      <c r="M2" s="42"/>
    </row>
    <row r="3" spans="2:13" ht="12.45" customHeight="1" x14ac:dyDescent="0.3">
      <c r="B3" s="41"/>
      <c r="C3" s="146" t="s">
        <v>0</v>
      </c>
      <c r="D3" s="147"/>
      <c r="E3" s="130" t="s">
        <v>1</v>
      </c>
      <c r="F3" s="131"/>
      <c r="G3" s="131"/>
      <c r="H3" s="131"/>
      <c r="I3" s="132"/>
      <c r="J3" s="124" t="s">
        <v>2</v>
      </c>
      <c r="K3" s="124"/>
      <c r="L3" s="124"/>
      <c r="M3" s="43"/>
    </row>
    <row r="4" spans="2:13" ht="12.45" customHeight="1" x14ac:dyDescent="0.3">
      <c r="B4" s="41"/>
      <c r="C4" s="148"/>
      <c r="D4" s="149"/>
      <c r="E4" s="133"/>
      <c r="F4" s="134"/>
      <c r="G4" s="134"/>
      <c r="H4" s="134"/>
      <c r="I4" s="135"/>
      <c r="J4" s="125"/>
      <c r="K4" s="125"/>
      <c r="L4" s="125"/>
      <c r="M4" s="43"/>
    </row>
    <row r="5" spans="2:13" ht="12.45" customHeight="1" x14ac:dyDescent="0.3">
      <c r="B5" s="41"/>
      <c r="C5" s="148"/>
      <c r="D5" s="149"/>
      <c r="E5" s="136" t="s">
        <v>3</v>
      </c>
      <c r="F5" s="137"/>
      <c r="G5" s="137"/>
      <c r="H5" s="137"/>
      <c r="I5" s="138"/>
      <c r="J5" s="156" t="s">
        <v>4</v>
      </c>
      <c r="K5" s="157"/>
      <c r="L5" s="154" t="s">
        <v>5</v>
      </c>
      <c r="M5" s="43"/>
    </row>
    <row r="6" spans="2:13" ht="12.45" customHeight="1" x14ac:dyDescent="0.3">
      <c r="B6" s="41"/>
      <c r="C6" s="150"/>
      <c r="D6" s="151"/>
      <c r="E6" s="139" t="s">
        <v>6</v>
      </c>
      <c r="F6" s="140"/>
      <c r="G6" s="140"/>
      <c r="H6" s="140"/>
      <c r="I6" s="141"/>
      <c r="J6" s="158"/>
      <c r="K6" s="159"/>
      <c r="L6" s="155"/>
      <c r="M6" s="43"/>
    </row>
    <row r="7" spans="2:13" ht="9.4499999999999993" customHeight="1" x14ac:dyDescent="0.3">
      <c r="B7" s="41"/>
      <c r="C7" s="74"/>
      <c r="D7" s="2"/>
      <c r="E7" s="2"/>
      <c r="F7" s="2"/>
      <c r="G7" s="2"/>
      <c r="H7" s="2"/>
      <c r="I7" s="2"/>
      <c r="J7" s="24"/>
      <c r="K7" s="2"/>
      <c r="L7" s="2"/>
      <c r="M7" s="43"/>
    </row>
    <row r="8" spans="2:13" ht="17.25" customHeight="1" x14ac:dyDescent="0.3">
      <c r="B8" s="41"/>
      <c r="C8" s="144" t="s">
        <v>7</v>
      </c>
      <c r="D8" s="145"/>
      <c r="E8" s="145"/>
      <c r="F8" s="142" t="str">
        <f>Notas!B4&amp;" "&amp;Notas!B3</f>
        <v xml:space="preserve"> </v>
      </c>
      <c r="G8" s="142"/>
      <c r="H8" s="142"/>
      <c r="I8" s="143"/>
      <c r="J8" s="128" t="s">
        <v>8</v>
      </c>
      <c r="K8" s="129"/>
      <c r="L8" s="107">
        <f ca="1">TODAY()</f>
        <v>45986</v>
      </c>
      <c r="M8" s="43"/>
    </row>
    <row r="9" spans="2:13" ht="17.25" customHeight="1" x14ac:dyDescent="0.3">
      <c r="B9" s="41"/>
      <c r="C9" s="152" t="s">
        <v>9</v>
      </c>
      <c r="D9" s="153"/>
      <c r="E9" s="153"/>
      <c r="F9" s="118" t="s">
        <v>41</v>
      </c>
      <c r="G9" s="118"/>
      <c r="H9" s="118"/>
      <c r="I9" s="119"/>
      <c r="J9" s="126" t="s">
        <v>10</v>
      </c>
      <c r="K9" s="127"/>
      <c r="L9" s="108" t="str">
        <f>LEFT(Notas!A9,4)&amp;" - "&amp;IF((MID(Notas!A9,8,1))&gt;2,2,1)</f>
        <v xml:space="preserve"> - 2</v>
      </c>
      <c r="M9" s="43"/>
    </row>
    <row r="10" spans="2:13" ht="9.4499999999999993" customHeight="1" x14ac:dyDescent="0.3">
      <c r="B10" s="41"/>
      <c r="C10" s="74"/>
      <c r="D10" s="18"/>
      <c r="E10" s="20"/>
      <c r="F10" s="20"/>
      <c r="G10" s="18"/>
      <c r="H10" s="25"/>
      <c r="I10" s="20"/>
      <c r="J10" s="19"/>
      <c r="K10" s="18"/>
      <c r="L10" s="18"/>
      <c r="M10" s="43"/>
    </row>
    <row r="11" spans="2:13" ht="18" customHeight="1" x14ac:dyDescent="0.3">
      <c r="B11" s="41"/>
      <c r="C11" s="122" t="s">
        <v>11</v>
      </c>
      <c r="D11" s="123"/>
      <c r="E11" s="120" t="s">
        <v>12</v>
      </c>
      <c r="F11" s="121"/>
      <c r="G11" s="102" t="s">
        <v>11</v>
      </c>
      <c r="H11" s="120" t="s">
        <v>13</v>
      </c>
      <c r="I11" s="121"/>
      <c r="J11" s="103" t="s">
        <v>14</v>
      </c>
      <c r="K11" s="104" t="s">
        <v>15</v>
      </c>
      <c r="L11" s="104" t="s">
        <v>16</v>
      </c>
      <c r="M11" s="43"/>
    </row>
    <row r="12" spans="2:13" ht="22.8" customHeight="1" x14ac:dyDescent="0.3">
      <c r="B12" s="41"/>
      <c r="C12" s="114" t="s">
        <v>58</v>
      </c>
      <c r="D12" s="59" t="s">
        <v>42</v>
      </c>
      <c r="E12" s="70" t="s">
        <v>61</v>
      </c>
      <c r="F12" s="60"/>
      <c r="G12" s="106" t="str">
        <f>IF($F$8=" ","",IFERROR(IF($L$9="","",IFERROR(VLOOKUP(IFERROR(VLOOKUP(D12,Notas!B:B,1,FALSE),VLOOKUP(D12,Equivalencia!A:F,5,FALSE)),Notas!B:B,1,FALSE),VLOOKUP(D12,Equivalencia!A:H,8,FALSE))),""))</f>
        <v/>
      </c>
      <c r="H12" s="70" t="str">
        <f>IFERROR(IF($L$9="","",IFERROR(IFERROR(VLOOKUP(G12,Equivalencia!A:B,2,FALSE),VLOOKUP(G12,Equivalencia!E:F,2,FALSE)),VLOOKUP(G12,Equivalencia!H:I,2,FALSE))),"")</f>
        <v/>
      </c>
      <c r="I12" s="78"/>
      <c r="J12" s="61">
        <v>4</v>
      </c>
      <c r="K12" s="62" t="str">
        <f>IF($F$8=" ","",VLOOKUP(G12,Notas!B:K,8,FALSE)/1000)</f>
        <v/>
      </c>
      <c r="L12" s="63" t="str">
        <f>IFERROR(IF(VLOOKUP(G12,Notas!B:K,9,FALSE)=".000","",VLOOKUP(G12,Notas!B:K,9,FALSE)/1000),"")</f>
        <v/>
      </c>
      <c r="M12" s="43"/>
    </row>
    <row r="13" spans="2:13" ht="22.8" customHeight="1" x14ac:dyDescent="0.3">
      <c r="B13" s="41"/>
      <c r="C13" s="115"/>
      <c r="D13" s="64" t="s">
        <v>43</v>
      </c>
      <c r="E13" s="71" t="s">
        <v>62</v>
      </c>
      <c r="F13" s="65"/>
      <c r="G13" s="66" t="str">
        <f>IF($F$8=" ","",IFERROR(IF($L$9="","",IFERROR(VLOOKUP(IFERROR(VLOOKUP(D13,Notas!B:B,1,FALSE),VLOOKUP(D13,Equivalencia!A:F,5,FALSE)),Notas!B:B,1,FALSE),VLOOKUP(D13,Equivalencia!A:H,8,FALSE))),""))</f>
        <v/>
      </c>
      <c r="H13" s="71" t="str">
        <f>IFERROR(IF($L$9="","",IFERROR(IFERROR(VLOOKUP(G13,Equivalencia!A:B,2,FALSE),VLOOKUP(G13,Equivalencia!E:F,2,FALSE)),VLOOKUP(G13,Equivalencia!H:I,2,FALSE))),"")</f>
        <v/>
      </c>
      <c r="I13" s="79"/>
      <c r="J13" s="67">
        <v>4</v>
      </c>
      <c r="K13" s="68" t="str">
        <f>IF($F$8=" ","",VLOOKUP(G13,Notas!B:K,8,FALSE)/1000)</f>
        <v/>
      </c>
      <c r="L13" s="69" t="str">
        <f>IFERROR(IF(VLOOKUP(G13,Notas!B:K,9,FALSE)=".000","",VLOOKUP(G13,Notas!B:K,9,FALSE)/1000),"")</f>
        <v/>
      </c>
      <c r="M13" s="43"/>
    </row>
    <row r="14" spans="2:13" ht="22.8" customHeight="1" x14ac:dyDescent="0.3">
      <c r="B14" s="41"/>
      <c r="C14" s="115"/>
      <c r="D14" s="64" t="s">
        <v>44</v>
      </c>
      <c r="E14" s="71" t="s">
        <v>63</v>
      </c>
      <c r="F14" s="65"/>
      <c r="G14" s="66" t="str">
        <f>IF($F$8=" ","",IFERROR(IF($L$9="","",IFERROR(VLOOKUP(IFERROR(VLOOKUP(D14,Notas!B:B,1,FALSE),VLOOKUP(D14,Equivalencia!A:F,5,FALSE)),Notas!B:B,1,FALSE),VLOOKUP(D14,Equivalencia!A:H,8,FALSE))),""))</f>
        <v/>
      </c>
      <c r="H14" s="71" t="str">
        <f>IFERROR(IF($L$9="","",IFERROR(IFERROR(VLOOKUP(G14,Equivalencia!A:B,2,FALSE),VLOOKUP(G14,Equivalencia!E:F,2,FALSE)),VLOOKUP(G14,Equivalencia!H:I,2,FALSE))),"")</f>
        <v/>
      </c>
      <c r="I14" s="79"/>
      <c r="J14" s="67">
        <v>4</v>
      </c>
      <c r="K14" s="68" t="str">
        <f>IF($F$8=" ","",VLOOKUP(G14,Notas!B:K,8,FALSE)/1000)</f>
        <v/>
      </c>
      <c r="L14" s="69" t="str">
        <f>IFERROR(IF(VLOOKUP(G14,Notas!B:K,9,FALSE)=".000","",VLOOKUP(G14,Notas!B:K,9,FALSE)/1000),"")</f>
        <v/>
      </c>
      <c r="M14" s="43"/>
    </row>
    <row r="15" spans="2:13" ht="22.8" customHeight="1" x14ac:dyDescent="0.3">
      <c r="B15" s="41"/>
      <c r="C15" s="115"/>
      <c r="D15" s="64" t="s">
        <v>45</v>
      </c>
      <c r="E15" s="71" t="s">
        <v>64</v>
      </c>
      <c r="F15" s="65"/>
      <c r="G15" s="66" t="str">
        <f>IF($F$8=" ","",IFERROR(IF($L$9="","",IFERROR(VLOOKUP(IFERROR(VLOOKUP(D15,Notas!B:B,1,FALSE),VLOOKUP(D15,Equivalencia!A:F,5,FALSE)),Notas!B:B,1,FALSE),VLOOKUP(D15,Equivalencia!A:H,8,FALSE))),""))</f>
        <v/>
      </c>
      <c r="H15" s="71" t="str">
        <f>IFERROR(IF($L$9="","",IFERROR(IFERROR(VLOOKUP(G15,Equivalencia!A:B,2,FALSE),VLOOKUP(G15,Equivalencia!E:F,2,FALSE)),VLOOKUP(G15,Equivalencia!H:I,2,FALSE))),"")</f>
        <v/>
      </c>
      <c r="I15" s="79"/>
      <c r="J15" s="67">
        <v>1</v>
      </c>
      <c r="K15" s="68" t="str">
        <f>IF($F$8=" ","",VLOOKUP(G15,Notas!B:K,8,FALSE)/1000)</f>
        <v/>
      </c>
      <c r="L15" s="69" t="str">
        <f>IFERROR(IF(VLOOKUP(G15,Notas!B:K,9,FALSE)=".000","",VLOOKUP(G15,Notas!B:K,9,FALSE)/1000),"")</f>
        <v/>
      </c>
      <c r="M15" s="43"/>
    </row>
    <row r="16" spans="2:13" ht="22.8" customHeight="1" x14ac:dyDescent="0.3">
      <c r="B16" s="41"/>
      <c r="C16" s="115"/>
      <c r="D16" s="64" t="s">
        <v>46</v>
      </c>
      <c r="E16" s="71" t="s">
        <v>65</v>
      </c>
      <c r="F16" s="105"/>
      <c r="G16" s="66" t="str">
        <f>IF($F$8=" ","",IFERROR(IF($L$9="","",IFERROR(VLOOKUP(IFERROR(VLOOKUP(D16,Notas!B:B,1,FALSE),VLOOKUP(D16,Equivalencia!A:F,5,FALSE)),Notas!B:B,1,FALSE),VLOOKUP(D16,Equivalencia!A:H,8,FALSE))),""))</f>
        <v/>
      </c>
      <c r="H16" s="71" t="str">
        <f>IFERROR(IF($L$9="","",IFERROR(IFERROR(VLOOKUP(G16,Equivalencia!A:B,2,FALSE),VLOOKUP(G16,Equivalencia!E:F,2,FALSE)),VLOOKUP(G16,Equivalencia!H:I,2,FALSE))),"")</f>
        <v/>
      </c>
      <c r="I16" s="79"/>
      <c r="J16" s="67">
        <v>1</v>
      </c>
      <c r="K16" s="68" t="str">
        <f>IF($F$8=" ","",VLOOKUP(G16,Notas!B:K,8,FALSE)/1000)</f>
        <v/>
      </c>
      <c r="L16" s="69" t="str">
        <f>IFERROR(IF(VLOOKUP(G16,Notas!B:K,9,FALSE)=".000","",VLOOKUP(G16,Notas!B:K,9,FALSE)/1000),"")</f>
        <v/>
      </c>
      <c r="M16" s="43"/>
    </row>
    <row r="17" spans="2:14" ht="22.8" customHeight="1" x14ac:dyDescent="0.3">
      <c r="B17" s="41"/>
      <c r="C17" s="116"/>
      <c r="D17" s="86" t="s">
        <v>47</v>
      </c>
      <c r="E17" s="87" t="s">
        <v>66</v>
      </c>
      <c r="F17" s="88"/>
      <c r="G17" s="89" t="str">
        <f>IF($F$8=" ","",IFERROR(IF($L$9="","",IFERROR(VLOOKUP(IFERROR(VLOOKUP(D17,Notas!B:B,1,FALSE),VLOOKUP(D17,Equivalencia!A:F,5,FALSE)),Notas!B:B,1,FALSE),VLOOKUP(D17,Equivalencia!A:H,8,FALSE))),""))</f>
        <v/>
      </c>
      <c r="H17" s="87" t="str">
        <f>IFERROR(IF($L$9="","",IFERROR(IFERROR(VLOOKUP(G17,Equivalencia!A:B,2,FALSE),VLOOKUP(G17,Equivalencia!E:F,2,FALSE)),VLOOKUP(G17,Equivalencia!H:I,2,FALSE))),"")</f>
        <v/>
      </c>
      <c r="I17" s="90"/>
      <c r="J17" s="91">
        <v>1</v>
      </c>
      <c r="K17" s="92" t="str">
        <f>IF($F$8=" ","",VLOOKUP(G17,Notas!B:K,8,FALSE)/1000)</f>
        <v/>
      </c>
      <c r="L17" s="93" t="str">
        <f>IFERROR(IF(VLOOKUP(G17,Notas!B:K,9,FALSE)=".000","",VLOOKUP(G17,Notas!B:K,9,FALSE)/1000),"")</f>
        <v/>
      </c>
      <c r="M17" s="43"/>
    </row>
    <row r="18" spans="2:14" ht="22.8" customHeight="1" x14ac:dyDescent="0.3">
      <c r="B18" s="41"/>
      <c r="C18" s="117" t="s">
        <v>59</v>
      </c>
      <c r="D18" s="94" t="s">
        <v>48</v>
      </c>
      <c r="E18" s="95" t="s">
        <v>67</v>
      </c>
      <c r="F18" s="96"/>
      <c r="G18" s="97" t="str">
        <f>IF($F$8=" ","",IFERROR(IF($L$9="","",IFERROR(VLOOKUP(IFERROR(VLOOKUP(D18,Notas!B:B,1,FALSE),VLOOKUP(D18,Equivalencia!A:F,5,FALSE)),Notas!B:B,1,FALSE),VLOOKUP(D18,Equivalencia!A:H,8,FALSE))),""))</f>
        <v/>
      </c>
      <c r="H18" s="95" t="str">
        <f>IFERROR(IF($L$9="","",IFERROR(IFERROR(VLOOKUP(G18,Equivalencia!A:B,2,FALSE),VLOOKUP(G18,Equivalencia!E:F,2,FALSE)),VLOOKUP(G18,Equivalencia!H:I,2,FALSE))),"")</f>
        <v/>
      </c>
      <c r="I18" s="98"/>
      <c r="J18" s="99">
        <v>4</v>
      </c>
      <c r="K18" s="100" t="str">
        <f>IF($F$8=" ","",VLOOKUP(G18,Notas!B:K,8,FALSE)/1000)</f>
        <v/>
      </c>
      <c r="L18" s="101" t="str">
        <f>IFERROR(IF(VLOOKUP(G18,Notas!B:K,9,FALSE)=".000","",VLOOKUP(G18,Notas!B:K,9,FALSE)/1000),"")</f>
        <v/>
      </c>
      <c r="M18" s="43"/>
    </row>
    <row r="19" spans="2:14" ht="22.8" customHeight="1" x14ac:dyDescent="0.3">
      <c r="B19" s="41"/>
      <c r="C19" s="115"/>
      <c r="D19" s="109" t="s">
        <v>49</v>
      </c>
      <c r="E19" s="110" t="s">
        <v>68</v>
      </c>
      <c r="F19" s="111"/>
      <c r="G19" s="82" t="str">
        <f>IF($F$8=" ","",IFERROR(IF($L$9="","",IFERROR(VLOOKUP(IFERROR(VLOOKUP(D19,Notas!B:B,1,FALSE),VLOOKUP(D19,Equivalencia!A:F,5,FALSE)),Notas!B:B,1,FALSE),VLOOKUP(D19,Equivalencia!A:H,8,FALSE))),""))</f>
        <v/>
      </c>
      <c r="H19" s="110" t="str">
        <f>IFERROR(IF($L$9="","",IFERROR(IFERROR(VLOOKUP(G19,Equivalencia!A:B,2,FALSE),VLOOKUP(G19,Equivalencia!E:F,2,FALSE)),VLOOKUP(G19,Equivalencia!H:I,2,FALSE))),"")</f>
        <v/>
      </c>
      <c r="I19" s="112"/>
      <c r="J19" s="83">
        <v>4</v>
      </c>
      <c r="K19" s="84" t="str">
        <f>IF($F$8=" ","",VLOOKUP(G19,Notas!B:K,8,FALSE)/1000)</f>
        <v/>
      </c>
      <c r="L19" s="85" t="str">
        <f>IFERROR(IF(VLOOKUP(G19,Notas!B:K,9,FALSE)=".000","",VLOOKUP(G19,Notas!B:K,9,FALSE)/1000),"")</f>
        <v/>
      </c>
      <c r="M19" s="43"/>
    </row>
    <row r="20" spans="2:14" ht="22.8" customHeight="1" x14ac:dyDescent="0.3">
      <c r="B20" s="41"/>
      <c r="C20" s="115"/>
      <c r="D20" s="109" t="s">
        <v>50</v>
      </c>
      <c r="E20" s="110" t="s">
        <v>69</v>
      </c>
      <c r="F20" s="111"/>
      <c r="G20" s="82" t="str">
        <f>IF($F$8=" ","",IFERROR(IF($L$9="","",IFERROR(VLOOKUP(IFERROR(VLOOKUP(D20,Notas!B:B,1,FALSE),VLOOKUP(D20,Equivalencia!A:F,5,FALSE)),Notas!B:B,1,FALSE),VLOOKUP(D20,Equivalencia!A:H,8,FALSE))),""))</f>
        <v/>
      </c>
      <c r="H20" s="110" t="str">
        <f>IFERROR(IF($L$9="","",IFERROR(IFERROR(VLOOKUP(G20,Equivalencia!A:B,2,FALSE),VLOOKUP(G20,Equivalencia!E:F,2,FALSE)),VLOOKUP(G20,Equivalencia!H:I,2,FALSE))),"")</f>
        <v/>
      </c>
      <c r="I20" s="112"/>
      <c r="J20" s="83">
        <v>4</v>
      </c>
      <c r="K20" s="84" t="str">
        <f>IF($F$8=" ","",VLOOKUP(G20,Notas!B:K,8,FALSE)/1000)</f>
        <v/>
      </c>
      <c r="L20" s="85" t="str">
        <f>IFERROR(IF(VLOOKUP(G20,Notas!B:K,9,FALSE)=".000","",VLOOKUP(G20,Notas!B:K,9,FALSE)/1000),"")</f>
        <v/>
      </c>
      <c r="M20" s="43"/>
    </row>
    <row r="21" spans="2:14" ht="22.8" customHeight="1" x14ac:dyDescent="0.3">
      <c r="B21" s="41"/>
      <c r="C21" s="115"/>
      <c r="D21" s="109" t="s">
        <v>51</v>
      </c>
      <c r="E21" s="110" t="s">
        <v>70</v>
      </c>
      <c r="F21" s="111"/>
      <c r="G21" s="82" t="str">
        <f>IF($F$8=" ","",IFERROR(IF($L$9="","",IFERROR(VLOOKUP(IFERROR(VLOOKUP(D21,Notas!B:B,1,FALSE),VLOOKUP(D21,Equivalencia!A:F,5,FALSE)),Notas!B:B,1,FALSE),VLOOKUP(D21,Equivalencia!A:H,8,FALSE))),""))</f>
        <v/>
      </c>
      <c r="H21" s="110" t="str">
        <f>IFERROR(IF($L$9="","",IFERROR(IFERROR(VLOOKUP(G21,Equivalencia!A:B,2,FALSE),VLOOKUP(G21,Equivalencia!E:F,2,FALSE)),VLOOKUP(G21,Equivalencia!H:I,2,FALSE))),"")</f>
        <v/>
      </c>
      <c r="I21" s="112"/>
      <c r="J21" s="83">
        <v>4</v>
      </c>
      <c r="K21" s="84" t="str">
        <f>IF($F$8=" ","",VLOOKUP(G21,Notas!B:K,8,FALSE)/1000)</f>
        <v/>
      </c>
      <c r="L21" s="85" t="str">
        <f>IFERROR(IF(VLOOKUP(G21,Notas!B:K,9,FALSE)=".000","",VLOOKUP(G21,Notas!B:K,9,FALSE)/1000),"")</f>
        <v/>
      </c>
      <c r="M21" s="43"/>
    </row>
    <row r="22" spans="2:14" ht="22.8" customHeight="1" x14ac:dyDescent="0.3">
      <c r="B22" s="41"/>
      <c r="C22" s="115"/>
      <c r="D22" s="64" t="s">
        <v>52</v>
      </c>
      <c r="E22" s="71" t="s">
        <v>71</v>
      </c>
      <c r="F22" s="65"/>
      <c r="G22" s="66" t="str">
        <f>IF($F$8=" ","",IFERROR(IF($L$9="","",IFERROR(VLOOKUP(IFERROR(VLOOKUP(D22,Notas!B:B,1,FALSE),VLOOKUP(D22,Equivalencia!A:F,5,FALSE)),Notas!B:B,1,FALSE),VLOOKUP(D22,Equivalencia!A:H,8,FALSE))),""))</f>
        <v/>
      </c>
      <c r="H22" s="71" t="str">
        <f>IFERROR(IF($L$9="","",IFERROR(IFERROR(VLOOKUP(G22,Equivalencia!A:B,2,FALSE),VLOOKUP(G22,Equivalencia!E:F,2,FALSE)),VLOOKUP(G22,Equivalencia!H:I,2,FALSE))),"")</f>
        <v/>
      </c>
      <c r="I22" s="79"/>
      <c r="J22" s="67">
        <v>4</v>
      </c>
      <c r="K22" s="68" t="str">
        <f>IF($F$8=" ","",VLOOKUP(G22,Notas!B:K,8,FALSE)/1000)</f>
        <v/>
      </c>
      <c r="L22" s="69" t="str">
        <f>IFERROR(IF(VLOOKUP(G22,Notas!B:K,9,FALSE)=".000","",VLOOKUP(G22,Notas!B:K,9,FALSE)/1000),"")</f>
        <v/>
      </c>
      <c r="M22" s="43"/>
    </row>
    <row r="23" spans="2:14" ht="22.8" customHeight="1" x14ac:dyDescent="0.3">
      <c r="B23" s="41"/>
      <c r="C23" s="116"/>
      <c r="D23" s="86" t="s">
        <v>53</v>
      </c>
      <c r="E23" s="87" t="s">
        <v>72</v>
      </c>
      <c r="F23" s="88"/>
      <c r="G23" s="89" t="str">
        <f>IF($F$8=" ","",IFERROR(IF($L$9="","",IFERROR(VLOOKUP(IFERROR(VLOOKUP(D23,Notas!B:B,1,FALSE),VLOOKUP(D23,Equivalencia!A:F,5,FALSE)),Notas!B:B,1,FALSE),VLOOKUP(D23,Equivalencia!A:H,8,FALSE))),""))</f>
        <v/>
      </c>
      <c r="H23" s="87" t="str">
        <f>IFERROR(IF($L$9="","",IFERROR(IFERROR(VLOOKUP(G23,Equivalencia!A:B,2,FALSE),VLOOKUP(G23,Equivalencia!E:F,2,FALSE)),VLOOKUP(G23,Equivalencia!H:I,2,FALSE))),"")</f>
        <v/>
      </c>
      <c r="I23" s="90"/>
      <c r="J23" s="91">
        <v>4</v>
      </c>
      <c r="K23" s="92" t="str">
        <f>IF($F$8=" ","",VLOOKUP(G23,Notas!B:K,8,FALSE)/1000)</f>
        <v/>
      </c>
      <c r="L23" s="93" t="str">
        <f>IFERROR(IF(VLOOKUP(G23,Notas!B:K,9,FALSE)=".000","",VLOOKUP(G23,Notas!B:K,9,FALSE)/1000),"")</f>
        <v/>
      </c>
      <c r="M23" s="43"/>
    </row>
    <row r="24" spans="2:14" ht="22.8" customHeight="1" x14ac:dyDescent="0.3">
      <c r="B24" s="41"/>
      <c r="C24" s="117" t="s">
        <v>60</v>
      </c>
      <c r="D24" s="94" t="s">
        <v>54</v>
      </c>
      <c r="E24" s="95" t="s">
        <v>73</v>
      </c>
      <c r="F24" s="96"/>
      <c r="G24" s="97" t="str">
        <f>IF($F$8=" ","",IFERROR(IF($L$9="","",IFERROR(VLOOKUP(IFERROR(VLOOKUP(D24,Notas!B:B,1,FALSE),VLOOKUP(D24,Equivalencia!A:F,5,FALSE)),Notas!B:B,1,FALSE),VLOOKUP(D24,Equivalencia!A:H,8,FALSE))),""))</f>
        <v/>
      </c>
      <c r="H24" s="95" t="str">
        <f>IFERROR(IF($L$9="","",IFERROR(IFERROR(VLOOKUP(G24,Equivalencia!A:B,2,FALSE),VLOOKUP(G24,Equivalencia!E:F,2,FALSE)),VLOOKUP(G24,Equivalencia!H:I,2,FALSE))),"")</f>
        <v/>
      </c>
      <c r="I24" s="98"/>
      <c r="J24" s="99">
        <v>2</v>
      </c>
      <c r="K24" s="100" t="str">
        <f>IF($F$8=" ","",VLOOKUP(G24,Notas!B:K,8,FALSE)/1000)</f>
        <v/>
      </c>
      <c r="L24" s="101" t="str">
        <f>IFERROR(IF(VLOOKUP(G24,Notas!B:K,9,FALSE)=".000","",VLOOKUP(G24,Notas!B:K,9,FALSE)/1000),"")</f>
        <v/>
      </c>
      <c r="M24" s="43"/>
    </row>
    <row r="25" spans="2:14" ht="22.8" customHeight="1" x14ac:dyDescent="0.3">
      <c r="B25" s="41"/>
      <c r="C25" s="115"/>
      <c r="D25" s="64" t="s">
        <v>55</v>
      </c>
      <c r="E25" s="71" t="s">
        <v>74</v>
      </c>
      <c r="F25" s="65"/>
      <c r="G25" s="66" t="str">
        <f>IF($F$8=" ","",IFERROR(IF($L$9="","",IFERROR(VLOOKUP(IFERROR(VLOOKUP(D25,Notas!B:B,1,FALSE),VLOOKUP(D25,Equivalencia!A:F,5,FALSE)),Notas!B:B,1,FALSE),VLOOKUP(D25,Equivalencia!A:H,8,FALSE))),""))</f>
        <v/>
      </c>
      <c r="H25" s="71" t="str">
        <f>IFERROR(IF($L$9="","",IFERROR(IFERROR(VLOOKUP(G25,Equivalencia!A:B,2,FALSE),VLOOKUP(G25,Equivalencia!E:F,2,FALSE)),VLOOKUP(G25,Equivalencia!H:I,2,FALSE))),"")</f>
        <v/>
      </c>
      <c r="I25" s="79"/>
      <c r="J25" s="67">
        <v>2</v>
      </c>
      <c r="K25" s="68" t="str">
        <f>IF($F$8=" ","",VLOOKUP(G25,Notas!B:K,8,FALSE)/1000)</f>
        <v/>
      </c>
      <c r="L25" s="69" t="str">
        <f>IFERROR(IF(VLOOKUP(G25,Notas!B:K,9,FALSE)=".000","",VLOOKUP(G25,Notas!B:K,9,FALSE)/1000),"")</f>
        <v/>
      </c>
      <c r="M25" s="43"/>
    </row>
    <row r="26" spans="2:14" ht="22.8" customHeight="1" x14ac:dyDescent="0.3">
      <c r="B26" s="41"/>
      <c r="C26" s="115"/>
      <c r="D26" s="64" t="s">
        <v>56</v>
      </c>
      <c r="E26" s="71" t="s">
        <v>75</v>
      </c>
      <c r="F26" s="65"/>
      <c r="G26" s="66" t="str">
        <f>IF($F$8=" ","",IFERROR(IF($L$9="","",IFERROR(VLOOKUP(IFERROR(VLOOKUP(D26,Notas!B:B,1,FALSE),VLOOKUP(D26,Equivalencia!A:F,5,FALSE)),Notas!B:B,1,FALSE),VLOOKUP(D26,Equivalencia!A:H,8,FALSE))),""))</f>
        <v/>
      </c>
      <c r="H26" s="71" t="str">
        <f>IFERROR(IF($L$9="","",IFERROR(IFERROR(VLOOKUP(G26,Equivalencia!A:B,2,FALSE),VLOOKUP(G26,Equivalencia!E:F,2,FALSE)),VLOOKUP(G26,Equivalencia!H:I,2,FALSE))),"")</f>
        <v/>
      </c>
      <c r="I26" s="79"/>
      <c r="J26" s="67">
        <v>4</v>
      </c>
      <c r="K26" s="68" t="str">
        <f>IF($F$8=" ","",VLOOKUP(G26,Notas!B:K,8,FALSE)/1000)</f>
        <v/>
      </c>
      <c r="L26" s="69" t="str">
        <f>IFERROR(IF(VLOOKUP(G26,Notas!B:K,9,FALSE)=".000","",VLOOKUP(G26,Notas!B:K,9,FALSE)/1000),"")</f>
        <v/>
      </c>
      <c r="M26" s="43"/>
    </row>
    <row r="27" spans="2:14" ht="22.8" customHeight="1" x14ac:dyDescent="0.3">
      <c r="B27" s="41"/>
      <c r="C27" s="115"/>
      <c r="D27" s="64" t="s">
        <v>57</v>
      </c>
      <c r="E27" s="71" t="s">
        <v>76</v>
      </c>
      <c r="F27" s="65"/>
      <c r="G27" s="66" t="str">
        <f>IF($F$8=" ","",IFERROR(IF($L$9="","",IFERROR(VLOOKUP(IFERROR(VLOOKUP(D27,Notas!B:B,1,FALSE),VLOOKUP(D27,Equivalencia!A:F,5,FALSE)),Notas!B:B,1,FALSE),VLOOKUP(D27,Equivalencia!A:H,8,FALSE))),""))</f>
        <v/>
      </c>
      <c r="H27" s="71" t="str">
        <f>IFERROR(IF($L$9="","",IFERROR(IFERROR(VLOOKUP(G27,Equivalencia!A:B,2,FALSE),VLOOKUP(G27,Equivalencia!E:F,2,FALSE)),VLOOKUP(G27,Equivalencia!H:I,2,FALSE))),"")</f>
        <v/>
      </c>
      <c r="I27" s="79"/>
      <c r="J27" s="67">
        <v>12</v>
      </c>
      <c r="K27" s="68" t="str">
        <f>IF($F$8=" ","",VLOOKUP(G27,Notas!B:K,8,FALSE)/1000)</f>
        <v/>
      </c>
      <c r="L27" s="69" t="str">
        <f>IFERROR(IF(VLOOKUP(G27,Notas!B:K,9,FALSE)=".000","",VLOOKUP(G27,Notas!B:K,9,FALSE)/1000),"")</f>
        <v/>
      </c>
      <c r="M27" s="43"/>
    </row>
    <row r="28" spans="2:14" ht="9.4499999999999993" customHeight="1" x14ac:dyDescent="0.3">
      <c r="B28" s="41"/>
      <c r="C28" s="75"/>
      <c r="D28" s="21"/>
      <c r="E28" s="22"/>
      <c r="F28" s="22"/>
      <c r="G28" s="21"/>
      <c r="H28" s="22"/>
      <c r="I28" s="22"/>
      <c r="J28" s="23"/>
      <c r="K28" s="21"/>
      <c r="L28" s="21"/>
      <c r="M28" s="43"/>
      <c r="N28" s="34" t="s">
        <v>0</v>
      </c>
    </row>
    <row r="29" spans="2:14" ht="16.2" customHeight="1" x14ac:dyDescent="0.3">
      <c r="B29" s="41"/>
      <c r="C29" s="167" t="s">
        <v>25</v>
      </c>
      <c r="D29" s="168"/>
      <c r="E29" s="168"/>
      <c r="F29" s="168"/>
      <c r="G29" s="168"/>
      <c r="H29" s="168"/>
      <c r="I29" s="169"/>
      <c r="J29" s="161">
        <f>SUM(J12:J27)</f>
        <v>59</v>
      </c>
      <c r="K29" s="162"/>
      <c r="L29" s="163"/>
      <c r="M29" s="43"/>
    </row>
    <row r="30" spans="2:14" ht="16.2" customHeight="1" x14ac:dyDescent="0.3">
      <c r="B30" s="41"/>
      <c r="C30" s="175" t="s">
        <v>17</v>
      </c>
      <c r="D30" s="176"/>
      <c r="E30" s="176"/>
      <c r="F30" s="176"/>
      <c r="G30" s="176"/>
      <c r="H30" s="176"/>
      <c r="I30" s="177"/>
      <c r="J30" s="164">
        <f>IFERROR(SUMPRODUCT(J12:J27,K12:K27)/J29,"")</f>
        <v>0</v>
      </c>
      <c r="K30" s="165"/>
      <c r="L30" s="166"/>
      <c r="M30" s="43"/>
    </row>
    <row r="31" spans="2:14" ht="9.4499999999999993" customHeight="1" x14ac:dyDescent="0.3">
      <c r="B31" s="41"/>
      <c r="C31" s="74"/>
      <c r="D31" s="3"/>
      <c r="E31" s="4"/>
      <c r="F31" s="4"/>
      <c r="G31" s="3"/>
      <c r="H31" s="4"/>
      <c r="I31" s="4"/>
      <c r="J31" s="5"/>
      <c r="K31" s="3"/>
      <c r="L31" s="3"/>
      <c r="M31" s="43"/>
    </row>
    <row r="32" spans="2:14" ht="12.45" customHeight="1" x14ac:dyDescent="0.3">
      <c r="B32" s="41"/>
      <c r="C32" s="81" t="s">
        <v>26</v>
      </c>
      <c r="D32" s="54"/>
      <c r="E32" s="51"/>
      <c r="F32" s="51"/>
      <c r="G32" s="51"/>
      <c r="H32" s="51"/>
      <c r="I32" s="51"/>
      <c r="J32" s="51"/>
      <c r="K32" s="51"/>
      <c r="L32" s="52"/>
      <c r="M32" s="43"/>
    </row>
    <row r="33" spans="2:13" ht="33.75" customHeight="1" x14ac:dyDescent="0.3">
      <c r="B33" s="41"/>
      <c r="C33" s="172"/>
      <c r="D33" s="173"/>
      <c r="E33" s="173"/>
      <c r="F33" s="173"/>
      <c r="G33" s="173"/>
      <c r="H33" s="173"/>
      <c r="I33" s="173"/>
      <c r="J33" s="173"/>
      <c r="K33" s="173"/>
      <c r="L33" s="174"/>
      <c r="M33" s="43"/>
    </row>
    <row r="34" spans="2:13" ht="8.25" customHeight="1" x14ac:dyDescent="0.3">
      <c r="B34" s="41"/>
      <c r="C34" s="80"/>
      <c r="D34" s="55"/>
      <c r="E34" s="49"/>
      <c r="F34" s="49"/>
      <c r="G34" s="49"/>
      <c r="H34" s="49"/>
      <c r="I34" s="49"/>
      <c r="J34" s="49"/>
      <c r="K34" s="49"/>
      <c r="L34" s="49"/>
      <c r="M34" s="43"/>
    </row>
    <row r="35" spans="2:13" ht="34.799999999999997" customHeight="1" x14ac:dyDescent="0.3">
      <c r="B35" s="41"/>
      <c r="C35" s="74"/>
      <c r="D35" s="3"/>
      <c r="E35" s="171"/>
      <c r="F35" s="171"/>
      <c r="G35" s="171"/>
      <c r="H35" s="4"/>
      <c r="I35" s="171"/>
      <c r="J35" s="171"/>
      <c r="K35" s="171"/>
      <c r="L35" s="3"/>
      <c r="M35" s="43"/>
    </row>
    <row r="36" spans="2:13" ht="10.5" customHeight="1" x14ac:dyDescent="0.3">
      <c r="B36" s="41"/>
      <c r="C36" s="74"/>
      <c r="D36" s="3"/>
      <c r="E36" s="171"/>
      <c r="F36" s="171"/>
      <c r="G36" s="171"/>
      <c r="H36" s="4"/>
      <c r="I36" s="171"/>
      <c r="J36" s="171"/>
      <c r="K36" s="171"/>
      <c r="L36" s="3"/>
      <c r="M36" s="43"/>
    </row>
    <row r="37" spans="2:13" ht="12" customHeight="1" x14ac:dyDescent="0.3">
      <c r="B37" s="41"/>
      <c r="C37" s="74"/>
      <c r="D37" s="3"/>
      <c r="E37" s="171"/>
      <c r="F37" s="171"/>
      <c r="G37" s="171"/>
      <c r="H37" s="4"/>
      <c r="I37" s="171"/>
      <c r="J37" s="171"/>
      <c r="K37" s="171"/>
      <c r="L37" s="3"/>
      <c r="M37" s="43"/>
    </row>
    <row r="38" spans="2:13" ht="8.25" customHeight="1" x14ac:dyDescent="0.3">
      <c r="B38" s="41"/>
      <c r="C38" s="74"/>
      <c r="D38" s="3"/>
      <c r="E38" s="171"/>
      <c r="F38" s="171"/>
      <c r="G38" s="171"/>
      <c r="H38" s="4"/>
      <c r="I38" s="171"/>
      <c r="J38" s="171"/>
      <c r="K38" s="171"/>
      <c r="L38" s="3"/>
      <c r="M38" s="43"/>
    </row>
    <row r="39" spans="2:13" ht="2.25" customHeight="1" x14ac:dyDescent="0.3">
      <c r="B39" s="41"/>
      <c r="C39" s="74"/>
      <c r="D39" s="3"/>
      <c r="E39" s="32"/>
      <c r="F39" s="32"/>
      <c r="G39" s="32"/>
      <c r="H39" s="4"/>
      <c r="I39" s="32"/>
      <c r="J39" s="32"/>
      <c r="K39" s="32"/>
      <c r="L39" s="3"/>
      <c r="M39" s="43"/>
    </row>
    <row r="40" spans="2:13" ht="13.2" customHeight="1" x14ac:dyDescent="0.3">
      <c r="B40" s="41"/>
      <c r="C40" s="74"/>
      <c r="D40" s="3"/>
      <c r="E40" s="170"/>
      <c r="F40" s="170"/>
      <c r="G40" s="170"/>
      <c r="H40" s="33"/>
      <c r="I40" s="170"/>
      <c r="J40" s="170"/>
      <c r="K40" s="170"/>
      <c r="L40" s="3"/>
      <c r="M40" s="43"/>
    </row>
    <row r="41" spans="2:13" ht="11.7" customHeight="1" x14ac:dyDescent="0.3">
      <c r="B41" s="41"/>
      <c r="C41" s="74"/>
      <c r="D41" s="3"/>
      <c r="E41" s="160" t="s">
        <v>18</v>
      </c>
      <c r="F41" s="160"/>
      <c r="G41" s="160"/>
      <c r="H41" s="33"/>
      <c r="I41" s="160" t="s">
        <v>19</v>
      </c>
      <c r="J41" s="160"/>
      <c r="K41" s="160"/>
      <c r="L41" s="3"/>
      <c r="M41" s="43"/>
    </row>
    <row r="42" spans="2:13" x14ac:dyDescent="0.3">
      <c r="B42" s="41"/>
      <c r="C42" s="74"/>
      <c r="D42" s="3"/>
      <c r="E42" s="4"/>
      <c r="F42" s="4"/>
      <c r="G42" s="3"/>
      <c r="H42" s="4"/>
      <c r="I42" s="4"/>
      <c r="J42" s="5"/>
      <c r="K42" s="3"/>
      <c r="L42" s="3"/>
      <c r="M42" s="43"/>
    </row>
    <row r="43" spans="2:13" x14ac:dyDescent="0.3">
      <c r="B43" s="44"/>
      <c r="C43" s="76"/>
      <c r="D43" s="45"/>
      <c r="E43" s="46"/>
      <c r="F43" s="46"/>
      <c r="G43" s="45"/>
      <c r="H43" s="46"/>
      <c r="I43" s="46"/>
      <c r="J43" s="47"/>
      <c r="K43" s="45"/>
      <c r="L43" s="45"/>
      <c r="M43" s="48"/>
    </row>
  </sheetData>
  <sheetProtection algorithmName="SHA-512" hashValue="f1UWIRfcMG2MfYKpvUjzRbcg7n0AmvBjzJ2zbRKDj5PzFVbh9vQ0V0XkGsKiEk12fNSBOiOgRFFSxzo39ANi6Q==" saltValue="0zuNTWGiLbtIAc14IhGifQ==" spinCount="100000" sheet="1" objects="1" scenarios="1" selectLockedCells="1"/>
  <protectedRanges>
    <protectedRange sqref="C33 E40 I40" name="Editables"/>
  </protectedRanges>
  <mergeCells count="30">
    <mergeCell ref="I41:K41"/>
    <mergeCell ref="J29:L29"/>
    <mergeCell ref="J30:L30"/>
    <mergeCell ref="C29:I29"/>
    <mergeCell ref="I40:K40"/>
    <mergeCell ref="I35:K38"/>
    <mergeCell ref="C33:L33"/>
    <mergeCell ref="C30:I30"/>
    <mergeCell ref="E40:G40"/>
    <mergeCell ref="E41:G41"/>
    <mergeCell ref="E35:G38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7"/>
    <mergeCell ref="C18:C23"/>
    <mergeCell ref="C24:C27"/>
    <mergeCell ref="F9:I9"/>
    <mergeCell ref="H11:I11"/>
    <mergeCell ref="C11:D11"/>
    <mergeCell ref="E11:F11"/>
  </mergeCells>
  <phoneticPr fontId="4" type="noConversion"/>
  <conditionalFormatting sqref="F9">
    <cfRule type="cellIs" dxfId="9" priority="20" operator="equal">
      <formula>"-"</formula>
    </cfRule>
    <cfRule type="cellIs" dxfId="8" priority="21" operator="equal">
      <formula>"- "</formula>
    </cfRule>
  </conditionalFormatting>
  <conditionalFormatting sqref="L12:L27">
    <cfRule type="expression" dxfId="7" priority="17">
      <formula>AND(K12&lt;6,L12="")</formula>
    </cfRule>
  </conditionalFormatting>
  <conditionalFormatting sqref="J29:L30">
    <cfRule type="expression" dxfId="6" priority="16">
      <formula>$J$29&lt;&gt;59</formula>
    </cfRule>
  </conditionalFormatting>
  <conditionalFormatting sqref="K34:K44 K2:K32">
    <cfRule type="cellIs" dxfId="5" priority="13" operator="lessThan">
      <formula>6</formula>
    </cfRule>
  </conditionalFormatting>
  <conditionalFormatting sqref="L9">
    <cfRule type="expression" dxfId="4" priority="8">
      <formula>LEN($L$9)=4</formula>
    </cfRule>
  </conditionalFormatting>
  <conditionalFormatting sqref="D31:D32 D34:D1048576 D1:D28">
    <cfRule type="duplicateValues" dxfId="3" priority="43"/>
  </conditionalFormatting>
  <conditionalFormatting sqref="G1:G1048576">
    <cfRule type="cellIs" dxfId="2" priority="3" operator="equal">
      <formula>0</formula>
    </cfRule>
  </conditionalFormatting>
  <conditionalFormatting sqref="K1:K1048576">
    <cfRule type="containsErrors" dxfId="1" priority="44">
      <formula>ISERROR(K1)</formula>
    </cfRule>
  </conditionalFormatting>
  <conditionalFormatting sqref="J30:L30">
    <cfRule type="containsBlanks" dxfId="0" priority="1">
      <formula>LEN(TRIM(J30))=0</formula>
    </cfRule>
  </conditionalFormatting>
  <dataValidations disablePrompts="1" count="6">
    <dataValidation allowBlank="1" showInputMessage="1" showErrorMessage="1" error="NO SE PUEDE MODIFICAR ESTA CELDA" sqref="C32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29:L30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7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showRowColHeaders="0" topLeftCell="A13" workbookViewId="0">
      <selection activeCell="A69" sqref="A69"/>
    </sheetView>
  </sheetViews>
  <sheetFormatPr baseColWidth="10" defaultColWidth="11.44140625" defaultRowHeight="14.4" x14ac:dyDescent="0.3"/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  <c r="R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  <c r="R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  <c r="N46" s="1"/>
      <c r="R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J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9" sqref="E9"/>
    </sheetView>
  </sheetViews>
  <sheetFormatPr baseColWidth="10" defaultColWidth="11.109375" defaultRowHeight="14.4" x14ac:dyDescent="0.3"/>
  <cols>
    <col min="1" max="1" width="8.44140625" style="12" customWidth="1"/>
    <col min="2" max="2" width="5" style="12" hidden="1" customWidth="1"/>
    <col min="3" max="3" width="6.109375" style="12" hidden="1" customWidth="1"/>
    <col min="4" max="4" width="7.88671875" style="12" customWidth="1"/>
    <col min="5" max="5" width="44.88671875" style="12" customWidth="1"/>
    <col min="6" max="6" width="6.88671875" style="13" customWidth="1"/>
    <col min="7" max="7" width="2.5546875" style="12" customWidth="1"/>
    <col min="8" max="8" width="6.109375" style="12" hidden="1" customWidth="1"/>
    <col min="9" max="9" width="1.44140625" style="12" customWidth="1"/>
    <col min="10" max="16384" width="11.109375" style="12"/>
  </cols>
  <sheetData>
    <row r="1" spans="2:8" ht="37.5" customHeight="1" thickBot="1" x14ac:dyDescent="0.35"/>
    <row r="2" spans="2:8" ht="15" customHeight="1" thickBot="1" x14ac:dyDescent="0.35">
      <c r="B2" s="11"/>
      <c r="C2" s="11"/>
      <c r="D2" s="178" t="s">
        <v>24</v>
      </c>
      <c r="E2" s="179"/>
      <c r="F2" s="180"/>
      <c r="H2" s="11"/>
    </row>
    <row r="3" spans="2:8" ht="15" customHeight="1" thickBot="1" x14ac:dyDescent="0.35">
      <c r="B3" s="11"/>
      <c r="C3" s="11"/>
      <c r="D3" s="10" t="s">
        <v>20</v>
      </c>
      <c r="E3" s="77" t="s">
        <v>21</v>
      </c>
      <c r="F3" s="10" t="s">
        <v>22</v>
      </c>
      <c r="H3" s="11"/>
    </row>
    <row r="4" spans="2:8" ht="15" customHeight="1" x14ac:dyDescent="0.3">
      <c r="B4" s="11"/>
      <c r="C4" s="6" t="e">
        <f>D$2&amp;#REF!</f>
        <v>#REF!</v>
      </c>
      <c r="D4" s="14" t="s">
        <v>27</v>
      </c>
      <c r="E4" s="15" t="s">
        <v>33</v>
      </c>
      <c r="F4" s="14">
        <v>3</v>
      </c>
      <c r="H4" s="6" t="e">
        <f>#REF!&amp;#REF!</f>
        <v>#REF!</v>
      </c>
    </row>
    <row r="5" spans="2:8" ht="15" customHeight="1" x14ac:dyDescent="0.3">
      <c r="B5" s="11"/>
      <c r="C5" s="7" t="e">
        <f>D$2&amp;#REF!</f>
        <v>#REF!</v>
      </c>
      <c r="D5" s="14" t="s">
        <v>40</v>
      </c>
      <c r="E5" s="15" t="s">
        <v>34</v>
      </c>
      <c r="F5" s="14">
        <v>3</v>
      </c>
      <c r="H5" s="7" t="e">
        <f>#REF!&amp;#REF!</f>
        <v>#REF!</v>
      </c>
    </row>
    <row r="6" spans="2:8" ht="15" customHeight="1" x14ac:dyDescent="0.3">
      <c r="B6" s="11"/>
      <c r="C6" s="7" t="e">
        <f>D$2&amp;#REF!</f>
        <v>#REF!</v>
      </c>
      <c r="D6" s="14" t="s">
        <v>28</v>
      </c>
      <c r="E6" s="15" t="s">
        <v>35</v>
      </c>
      <c r="F6" s="14">
        <v>3</v>
      </c>
      <c r="H6" s="7" t="e">
        <f>#REF!&amp;#REF!</f>
        <v>#REF!</v>
      </c>
    </row>
    <row r="7" spans="2:8" ht="15" customHeight="1" x14ac:dyDescent="0.3">
      <c r="B7" s="11"/>
      <c r="C7" s="7" t="e">
        <f>D$2&amp;#REF!</f>
        <v>#REF!</v>
      </c>
      <c r="D7" s="14" t="s">
        <v>29</v>
      </c>
      <c r="E7" s="15" t="s">
        <v>36</v>
      </c>
      <c r="F7" s="14">
        <v>3</v>
      </c>
      <c r="H7" s="7" t="e">
        <f>#REF!&amp;#REF!</f>
        <v>#REF!</v>
      </c>
    </row>
    <row r="8" spans="2:8" ht="15" customHeight="1" x14ac:dyDescent="0.3">
      <c r="B8" s="11"/>
      <c r="C8" s="7" t="e">
        <f>D$2&amp;#REF!</f>
        <v>#REF!</v>
      </c>
      <c r="D8" s="14" t="s">
        <v>30</v>
      </c>
      <c r="E8" s="15" t="s">
        <v>37</v>
      </c>
      <c r="F8" s="14">
        <v>3</v>
      </c>
      <c r="H8" s="7" t="e">
        <f>#REF!&amp;#REF!</f>
        <v>#REF!</v>
      </c>
    </row>
    <row r="9" spans="2:8" ht="15" customHeight="1" x14ac:dyDescent="0.3">
      <c r="B9" s="11"/>
      <c r="C9" s="7" t="e">
        <f>D$2&amp;#REF!</f>
        <v>#REF!</v>
      </c>
      <c r="D9" s="14" t="s">
        <v>31</v>
      </c>
      <c r="E9" s="15" t="s">
        <v>38</v>
      </c>
      <c r="F9" s="14">
        <v>3</v>
      </c>
      <c r="H9" s="7" t="e">
        <f>#REF!&amp;#REF!</f>
        <v>#REF!</v>
      </c>
    </row>
    <row r="10" spans="2:8" ht="15" customHeight="1" x14ac:dyDescent="0.3">
      <c r="B10" s="11"/>
      <c r="C10" s="7" t="e">
        <f>D$2&amp;#REF!</f>
        <v>#REF!</v>
      </c>
      <c r="D10" s="14" t="s">
        <v>32</v>
      </c>
      <c r="E10" s="15" t="s">
        <v>39</v>
      </c>
      <c r="F10" s="14">
        <v>3</v>
      </c>
      <c r="H10" s="7" t="e">
        <f>#REF!&amp;#REF!</f>
        <v>#REF!</v>
      </c>
    </row>
    <row r="11" spans="2:8" ht="15" customHeight="1" x14ac:dyDescent="0.3">
      <c r="B11" s="11"/>
      <c r="C11" s="7" t="e">
        <f>D$2&amp;#REF!</f>
        <v>#REF!</v>
      </c>
      <c r="D11" s="14"/>
      <c r="E11" s="15"/>
      <c r="F11" s="14"/>
      <c r="H11" s="7" t="e">
        <f>#REF!&amp;#REF!</f>
        <v>#REF!</v>
      </c>
    </row>
    <row r="12" spans="2:8" ht="15" customHeight="1" x14ac:dyDescent="0.3">
      <c r="B12" s="11"/>
      <c r="C12" s="7" t="e">
        <f>D$2&amp;#REF!</f>
        <v>#REF!</v>
      </c>
      <c r="D12" s="14"/>
      <c r="E12" s="15"/>
      <c r="F12" s="14"/>
      <c r="H12" s="7" t="e">
        <f>#REF!&amp;#REF!</f>
        <v>#REF!</v>
      </c>
    </row>
    <row r="13" spans="2:8" ht="15" customHeight="1" thickBot="1" x14ac:dyDescent="0.35">
      <c r="B13" s="11"/>
      <c r="C13" s="8" t="e">
        <f>D$2&amp;#REF!</f>
        <v>#REF!</v>
      </c>
      <c r="D13" s="16"/>
      <c r="E13" s="17"/>
      <c r="F13" s="16"/>
      <c r="H13" s="8" t="e">
        <f>#REF!&amp;#REF!</f>
        <v>#REF!</v>
      </c>
    </row>
    <row r="14" spans="2:8" ht="15" customHeight="1" x14ac:dyDescent="0.3"/>
  </sheetData>
  <sheetProtection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3"/>
  <sheetViews>
    <sheetView showGridLines="0" zoomScale="115" zoomScaleNormal="115" workbookViewId="0">
      <pane ySplit="1" topLeftCell="A2" activePane="bottomLeft" state="frozen"/>
      <selection pane="bottomLeft" activeCell="A4" sqref="A4:B4"/>
    </sheetView>
  </sheetViews>
  <sheetFormatPr baseColWidth="10" defaultColWidth="11.109375" defaultRowHeight="14.4" x14ac:dyDescent="0.3"/>
  <cols>
    <col min="1" max="1" width="10.44140625" style="31" customWidth="1"/>
    <col min="2" max="2" width="30.88671875" style="27" customWidth="1"/>
    <col min="3" max="3" width="10.44140625" style="31" customWidth="1"/>
    <col min="4" max="4" width="1.88671875" style="31" customWidth="1"/>
    <col min="5" max="5" width="10.44140625" style="31" customWidth="1"/>
    <col min="6" max="6" width="30.88671875" style="27" customWidth="1"/>
    <col min="7" max="7" width="1.88671875" style="31" customWidth="1"/>
    <col min="8" max="8" width="10.44140625" style="31" customWidth="1"/>
    <col min="9" max="9" width="34.109375" style="27" customWidth="1"/>
    <col min="10" max="16384" width="11.109375" style="27"/>
  </cols>
  <sheetData>
    <row r="1" spans="1:9" x14ac:dyDescent="0.3">
      <c r="A1" s="9" t="s">
        <v>23</v>
      </c>
      <c r="B1" s="113" t="s">
        <v>21</v>
      </c>
      <c r="C1" s="9"/>
      <c r="D1" s="53"/>
      <c r="E1" s="9" t="s">
        <v>23</v>
      </c>
      <c r="F1" s="26" t="s">
        <v>21</v>
      </c>
      <c r="G1" s="53"/>
      <c r="H1" s="9" t="s">
        <v>23</v>
      </c>
      <c r="I1" s="26" t="s">
        <v>21</v>
      </c>
    </row>
    <row r="2" spans="1:9" x14ac:dyDescent="0.3">
      <c r="A2" s="28" t="s">
        <v>42</v>
      </c>
      <c r="B2" s="30" t="s">
        <v>61</v>
      </c>
      <c r="C2" s="28"/>
      <c r="D2" s="58"/>
      <c r="E2" s="28"/>
      <c r="F2" s="30"/>
      <c r="G2" s="58"/>
      <c r="H2" s="28"/>
      <c r="I2" s="30"/>
    </row>
    <row r="3" spans="1:9" x14ac:dyDescent="0.3">
      <c r="A3" s="28" t="s">
        <v>43</v>
      </c>
      <c r="B3" s="29" t="s">
        <v>62</v>
      </c>
      <c r="C3" s="28"/>
      <c r="D3" s="58"/>
      <c r="E3" s="28"/>
      <c r="F3" s="30"/>
      <c r="G3" s="58"/>
      <c r="H3" s="28"/>
      <c r="I3" s="30"/>
    </row>
    <row r="4" spans="1:9" x14ac:dyDescent="0.3">
      <c r="A4" s="28" t="s">
        <v>44</v>
      </c>
      <c r="B4" s="29" t="s">
        <v>63</v>
      </c>
      <c r="C4" s="28"/>
      <c r="D4" s="58"/>
      <c r="E4" s="28"/>
      <c r="F4" s="30"/>
      <c r="G4" s="58"/>
      <c r="H4" s="28"/>
      <c r="I4" s="30"/>
    </row>
    <row r="5" spans="1:9" x14ac:dyDescent="0.3">
      <c r="A5" s="28" t="s">
        <v>45</v>
      </c>
      <c r="B5" s="29" t="s">
        <v>64</v>
      </c>
      <c r="C5" s="28"/>
      <c r="D5" s="58"/>
      <c r="E5" s="28"/>
      <c r="F5" s="30"/>
      <c r="G5" s="58"/>
      <c r="H5" s="28"/>
      <c r="I5" s="30"/>
    </row>
    <row r="6" spans="1:9" x14ac:dyDescent="0.3">
      <c r="A6" s="28" t="s">
        <v>46</v>
      </c>
      <c r="B6" s="30" t="s">
        <v>65</v>
      </c>
      <c r="C6" s="28"/>
      <c r="D6" s="58"/>
      <c r="E6" s="28"/>
      <c r="F6" s="29"/>
      <c r="G6" s="58"/>
      <c r="H6" s="28"/>
      <c r="I6" s="29"/>
    </row>
    <row r="7" spans="1:9" x14ac:dyDescent="0.3">
      <c r="A7" s="28" t="s">
        <v>47</v>
      </c>
      <c r="B7" s="30" t="s">
        <v>66</v>
      </c>
      <c r="C7" s="28"/>
      <c r="D7" s="58"/>
      <c r="E7" s="28"/>
      <c r="F7" s="29"/>
      <c r="G7" s="58"/>
      <c r="H7" s="28"/>
      <c r="I7" s="29"/>
    </row>
    <row r="8" spans="1:9" x14ac:dyDescent="0.3">
      <c r="A8" s="28" t="s">
        <v>48</v>
      </c>
      <c r="B8" s="30" t="s">
        <v>67</v>
      </c>
      <c r="C8" s="28"/>
      <c r="D8" s="58"/>
      <c r="E8" s="28"/>
      <c r="F8" s="30"/>
      <c r="G8" s="58"/>
      <c r="H8" s="28"/>
      <c r="I8" s="30"/>
    </row>
    <row r="9" spans="1:9" x14ac:dyDescent="0.3">
      <c r="A9" s="28" t="s">
        <v>49</v>
      </c>
      <c r="B9" s="29" t="s">
        <v>68</v>
      </c>
      <c r="C9" s="28"/>
      <c r="D9" s="58"/>
      <c r="E9" s="28"/>
      <c r="F9" s="30"/>
      <c r="G9" s="58"/>
      <c r="H9" s="28"/>
      <c r="I9" s="30"/>
    </row>
    <row r="10" spans="1:9" x14ac:dyDescent="0.3">
      <c r="A10" s="28" t="s">
        <v>50</v>
      </c>
      <c r="B10" s="29" t="s">
        <v>69</v>
      </c>
      <c r="C10" s="28"/>
      <c r="D10" s="58"/>
      <c r="E10" s="28"/>
      <c r="F10" s="30"/>
      <c r="G10" s="58"/>
      <c r="H10" s="28"/>
      <c r="I10" s="30"/>
    </row>
    <row r="11" spans="1:9" x14ac:dyDescent="0.3">
      <c r="A11" s="28" t="s">
        <v>51</v>
      </c>
      <c r="B11" s="30" t="s">
        <v>70</v>
      </c>
      <c r="C11" s="28"/>
      <c r="D11" s="58"/>
      <c r="E11" s="28"/>
      <c r="F11" s="29"/>
      <c r="G11" s="58"/>
      <c r="H11" s="28"/>
      <c r="I11" s="30"/>
    </row>
    <row r="12" spans="1:9" x14ac:dyDescent="0.3">
      <c r="A12" s="28" t="s">
        <v>52</v>
      </c>
      <c r="B12" s="29" t="s">
        <v>71</v>
      </c>
      <c r="C12" s="28"/>
      <c r="D12" s="58"/>
      <c r="E12" s="28"/>
      <c r="F12" s="30"/>
      <c r="G12" s="58"/>
      <c r="H12" s="28"/>
      <c r="I12" s="30"/>
    </row>
    <row r="13" spans="1:9" x14ac:dyDescent="0.3">
      <c r="A13" s="28" t="s">
        <v>53</v>
      </c>
      <c r="B13" s="29" t="s">
        <v>72</v>
      </c>
      <c r="C13" s="28"/>
      <c r="D13" s="58"/>
      <c r="E13" s="28"/>
      <c r="F13" s="30"/>
      <c r="G13" s="58"/>
      <c r="H13" s="28"/>
      <c r="I13" s="30"/>
    </row>
    <row r="14" spans="1:9" x14ac:dyDescent="0.3">
      <c r="A14" s="28" t="s">
        <v>54</v>
      </c>
      <c r="B14" s="29" t="s">
        <v>73</v>
      </c>
      <c r="C14" s="28"/>
      <c r="D14" s="58"/>
      <c r="E14" s="28"/>
      <c r="F14" s="30"/>
      <c r="G14" s="58"/>
      <c r="H14" s="28"/>
      <c r="I14" s="30"/>
    </row>
    <row r="15" spans="1:9" x14ac:dyDescent="0.3">
      <c r="A15" s="28" t="s">
        <v>55</v>
      </c>
      <c r="B15" s="29" t="s">
        <v>74</v>
      </c>
      <c r="C15" s="28"/>
      <c r="D15" s="58"/>
      <c r="E15" s="28"/>
      <c r="F15" s="30"/>
      <c r="G15" s="58"/>
      <c r="H15" s="28"/>
      <c r="I15" s="30"/>
    </row>
    <row r="16" spans="1:9" x14ac:dyDescent="0.3">
      <c r="A16" s="28" t="s">
        <v>56</v>
      </c>
      <c r="B16" s="29" t="s">
        <v>75</v>
      </c>
      <c r="C16" s="28"/>
      <c r="D16" s="58"/>
      <c r="E16" s="28"/>
      <c r="F16" s="30"/>
      <c r="G16" s="58"/>
      <c r="H16" s="28"/>
      <c r="I16" s="30"/>
    </row>
    <row r="17" spans="1:9" x14ac:dyDescent="0.3">
      <c r="A17" s="28" t="s">
        <v>57</v>
      </c>
      <c r="B17" s="29" t="s">
        <v>76</v>
      </c>
      <c r="C17" s="28"/>
      <c r="D17" s="58"/>
      <c r="E17" s="28"/>
      <c r="F17" s="30"/>
      <c r="G17" s="58"/>
      <c r="H17" s="28"/>
      <c r="I17" s="30"/>
    </row>
    <row r="18" spans="1:9" x14ac:dyDescent="0.3">
      <c r="A18" s="28"/>
      <c r="B18" s="29"/>
      <c r="C18" s="28"/>
      <c r="D18" s="58"/>
      <c r="E18" s="28"/>
      <c r="F18" s="30"/>
      <c r="G18" s="58"/>
      <c r="H18" s="28"/>
      <c r="I18" s="30"/>
    </row>
    <row r="19" spans="1:9" x14ac:dyDescent="0.3">
      <c r="A19" s="28"/>
      <c r="B19" s="29"/>
      <c r="C19" s="28"/>
      <c r="D19" s="58"/>
      <c r="E19" s="28"/>
      <c r="F19" s="30"/>
      <c r="G19" s="58"/>
      <c r="H19" s="28"/>
      <c r="I19" s="30"/>
    </row>
    <row r="20" spans="1:9" x14ac:dyDescent="0.3">
      <c r="A20" s="28"/>
      <c r="B20" s="29"/>
      <c r="C20" s="28"/>
      <c r="D20" s="58"/>
      <c r="E20" s="28"/>
      <c r="F20" s="30"/>
      <c r="G20" s="58"/>
      <c r="H20" s="28"/>
      <c r="I20" s="30"/>
    </row>
    <row r="21" spans="1:9" x14ac:dyDescent="0.3">
      <c r="A21" s="28"/>
      <c r="B21" s="29"/>
      <c r="C21" s="28"/>
      <c r="D21" s="58"/>
      <c r="E21" s="28"/>
      <c r="F21" s="30"/>
      <c r="G21" s="58"/>
      <c r="H21" s="28"/>
      <c r="I21" s="30"/>
    </row>
    <row r="22" spans="1:9" x14ac:dyDescent="0.3">
      <c r="A22" s="28"/>
      <c r="B22" s="29"/>
      <c r="C22" s="28"/>
      <c r="D22" s="58"/>
      <c r="E22" s="28"/>
      <c r="F22" s="30"/>
      <c r="G22" s="58"/>
      <c r="H22" s="28"/>
      <c r="I22" s="30"/>
    </row>
    <row r="23" spans="1:9" x14ac:dyDescent="0.3">
      <c r="A23" s="28"/>
      <c r="B23" s="29"/>
      <c r="C23" s="28"/>
      <c r="D23" s="58"/>
      <c r="E23" s="28"/>
      <c r="F23" s="30"/>
      <c r="G23" s="58"/>
      <c r="H23" s="28"/>
      <c r="I23" s="30"/>
    </row>
    <row r="24" spans="1:9" x14ac:dyDescent="0.3">
      <c r="A24" s="28"/>
      <c r="B24" s="30"/>
      <c r="C24" s="28"/>
      <c r="D24" s="58"/>
      <c r="E24" s="28"/>
      <c r="F24" s="30"/>
      <c r="G24" s="58"/>
      <c r="H24" s="28"/>
      <c r="I24" s="29"/>
    </row>
    <row r="25" spans="1:9" x14ac:dyDescent="0.3">
      <c r="A25" s="28"/>
      <c r="B25" s="29"/>
      <c r="C25" s="28"/>
      <c r="D25" s="58"/>
      <c r="E25" s="28"/>
      <c r="F25" s="30"/>
      <c r="G25" s="58"/>
      <c r="H25" s="28"/>
      <c r="I25" s="30"/>
    </row>
    <row r="26" spans="1:9" x14ac:dyDescent="0.3">
      <c r="A26" s="28"/>
      <c r="B26" s="29"/>
      <c r="C26" s="28"/>
      <c r="D26" s="58"/>
      <c r="E26" s="28"/>
      <c r="F26" s="30"/>
      <c r="G26" s="58"/>
      <c r="H26" s="28"/>
      <c r="I26" s="30"/>
    </row>
    <row r="27" spans="1:9" x14ac:dyDescent="0.3">
      <c r="A27" s="28"/>
      <c r="B27" s="29"/>
      <c r="C27" s="28"/>
      <c r="D27" s="58"/>
      <c r="E27" s="28"/>
      <c r="F27" s="30"/>
      <c r="G27" s="58"/>
      <c r="H27" s="28"/>
      <c r="I27" s="30"/>
    </row>
    <row r="28" spans="1:9" x14ac:dyDescent="0.3">
      <c r="A28" s="28"/>
      <c r="B28" s="57"/>
      <c r="C28" s="28"/>
      <c r="D28" s="58"/>
      <c r="E28" s="28"/>
      <c r="F28" s="30"/>
      <c r="G28" s="58"/>
      <c r="H28" s="28"/>
      <c r="I28" s="30"/>
    </row>
    <row r="29" spans="1:9" x14ac:dyDescent="0.3">
      <c r="A29" s="28"/>
      <c r="B29" s="29"/>
      <c r="C29" s="28"/>
      <c r="D29" s="58"/>
      <c r="E29" s="28"/>
      <c r="F29" s="30"/>
      <c r="G29" s="58"/>
      <c r="H29" s="28"/>
      <c r="I29" s="30"/>
    </row>
    <row r="30" spans="1:9" x14ac:dyDescent="0.3">
      <c r="A30" s="28"/>
      <c r="B30" s="29"/>
      <c r="C30" s="28"/>
      <c r="D30" s="58"/>
      <c r="E30" s="28"/>
      <c r="F30" s="30"/>
      <c r="G30" s="58"/>
      <c r="H30" s="28"/>
      <c r="I30" s="30"/>
    </row>
    <row r="31" spans="1:9" x14ac:dyDescent="0.3">
      <c r="A31" s="28"/>
      <c r="B31" s="29"/>
      <c r="C31" s="28"/>
      <c r="D31" s="58"/>
      <c r="E31" s="28"/>
      <c r="F31" s="30"/>
      <c r="G31" s="58"/>
      <c r="H31" s="28"/>
      <c r="I31" s="30"/>
    </row>
    <row r="32" spans="1:9" x14ac:dyDescent="0.3">
      <c r="A32" s="28"/>
      <c r="B32" s="29"/>
      <c r="C32" s="28"/>
      <c r="D32" s="58"/>
      <c r="E32" s="28"/>
      <c r="F32" s="30"/>
      <c r="G32" s="58"/>
      <c r="H32" s="28"/>
      <c r="I32" s="30"/>
    </row>
    <row r="33" spans="1:9" x14ac:dyDescent="0.3">
      <c r="A33" s="28"/>
      <c r="B33" s="29"/>
      <c r="C33" s="28"/>
      <c r="D33" s="58"/>
      <c r="E33" s="28"/>
      <c r="F33" s="30"/>
      <c r="G33" s="58"/>
      <c r="H33" s="28"/>
      <c r="I33" s="30"/>
    </row>
    <row r="34" spans="1:9" x14ac:dyDescent="0.3">
      <c r="A34" s="28"/>
      <c r="B34" s="29"/>
      <c r="C34" s="28"/>
      <c r="D34" s="58"/>
      <c r="E34" s="28"/>
      <c r="F34" s="30"/>
      <c r="G34" s="58"/>
      <c r="H34" s="28"/>
      <c r="I34" s="30"/>
    </row>
    <row r="35" spans="1:9" x14ac:dyDescent="0.3">
      <c r="A35" s="28"/>
      <c r="B35" s="29"/>
      <c r="C35" s="28"/>
      <c r="D35" s="58"/>
      <c r="E35" s="28"/>
      <c r="F35" s="30"/>
      <c r="G35" s="58"/>
      <c r="H35" s="28"/>
      <c r="I35" s="30"/>
    </row>
    <row r="36" spans="1:9" x14ac:dyDescent="0.3">
      <c r="A36" s="28"/>
      <c r="B36" s="29"/>
      <c r="C36" s="28"/>
      <c r="D36" s="58"/>
      <c r="E36" s="28"/>
      <c r="F36" s="30"/>
      <c r="G36" s="58"/>
      <c r="H36" s="28"/>
      <c r="I36" s="30"/>
    </row>
    <row r="37" spans="1:9" x14ac:dyDescent="0.3">
      <c r="A37" s="28"/>
      <c r="B37" s="29"/>
      <c r="C37" s="28"/>
      <c r="D37" s="58"/>
      <c r="E37" s="28"/>
      <c r="F37" s="30"/>
      <c r="G37" s="58"/>
      <c r="H37" s="28"/>
      <c r="I37" s="30"/>
    </row>
    <row r="38" spans="1:9" x14ac:dyDescent="0.3">
      <c r="A38" s="28"/>
      <c r="B38" s="29"/>
      <c r="C38" s="28"/>
      <c r="D38" s="58"/>
      <c r="E38" s="28"/>
      <c r="F38" s="30"/>
      <c r="G38" s="58"/>
      <c r="H38" s="28"/>
      <c r="I38" s="30"/>
    </row>
    <row r="39" spans="1:9" x14ac:dyDescent="0.3">
      <c r="A39" s="28"/>
      <c r="B39" s="29"/>
      <c r="C39" s="28"/>
      <c r="D39" s="58"/>
      <c r="E39" s="28"/>
      <c r="F39" s="30"/>
      <c r="G39" s="58"/>
      <c r="H39" s="28"/>
      <c r="I39" s="30"/>
    </row>
    <row r="40" spans="1:9" x14ac:dyDescent="0.3">
      <c r="A40" s="28"/>
      <c r="B40" s="29"/>
      <c r="C40" s="28"/>
      <c r="D40" s="58"/>
      <c r="E40" s="28"/>
      <c r="F40" s="30"/>
      <c r="G40" s="58"/>
      <c r="H40" s="28"/>
      <c r="I40" s="30"/>
    </row>
    <row r="41" spans="1:9" x14ac:dyDescent="0.3">
      <c r="A41" s="28"/>
      <c r="B41" s="29"/>
      <c r="C41" s="28"/>
      <c r="D41" s="58"/>
      <c r="E41" s="28"/>
      <c r="F41" s="30"/>
      <c r="G41" s="58"/>
      <c r="H41" s="28"/>
      <c r="I41" s="30"/>
    </row>
    <row r="42" spans="1:9" x14ac:dyDescent="0.3">
      <c r="A42" s="28"/>
      <c r="B42" s="29"/>
      <c r="C42" s="28"/>
      <c r="D42" s="58"/>
      <c r="E42" s="28"/>
      <c r="F42" s="30"/>
      <c r="G42" s="58"/>
      <c r="H42" s="28"/>
      <c r="I42" s="30"/>
    </row>
    <row r="43" spans="1:9" x14ac:dyDescent="0.3">
      <c r="A43" s="28"/>
      <c r="B43" s="29"/>
      <c r="C43" s="28"/>
      <c r="D43" s="58"/>
      <c r="E43" s="28"/>
      <c r="F43" s="30"/>
      <c r="G43" s="58"/>
      <c r="H43" s="28"/>
      <c r="I43" s="30"/>
    </row>
    <row r="44" spans="1:9" x14ac:dyDescent="0.3">
      <c r="A44" s="28"/>
      <c r="B44" s="29"/>
      <c r="C44" s="28"/>
      <c r="D44" s="58"/>
      <c r="E44" s="28"/>
      <c r="F44" s="30"/>
      <c r="G44" s="58"/>
      <c r="H44" s="28"/>
      <c r="I44" s="30"/>
    </row>
    <row r="45" spans="1:9" x14ac:dyDescent="0.3">
      <c r="A45" s="28"/>
      <c r="B45" s="29"/>
      <c r="C45" s="28"/>
      <c r="D45" s="58"/>
      <c r="E45" s="28"/>
      <c r="F45" s="30"/>
      <c r="G45" s="58"/>
      <c r="H45" s="28"/>
      <c r="I45" s="30"/>
    </row>
    <row r="46" spans="1:9" x14ac:dyDescent="0.3">
      <c r="A46" s="28"/>
      <c r="B46" s="29"/>
      <c r="C46" s="28"/>
      <c r="D46" s="58"/>
      <c r="E46" s="28"/>
      <c r="F46" s="30"/>
      <c r="G46" s="58"/>
      <c r="H46" s="28"/>
      <c r="I46" s="30"/>
    </row>
    <row r="47" spans="1:9" x14ac:dyDescent="0.3">
      <c r="A47" s="28"/>
      <c r="B47" s="29"/>
      <c r="C47" s="28"/>
      <c r="D47" s="58"/>
      <c r="E47" s="28"/>
      <c r="F47" s="30"/>
      <c r="G47" s="58"/>
      <c r="H47" s="28"/>
      <c r="I47" s="30"/>
    </row>
    <row r="48" spans="1:9" x14ac:dyDescent="0.3">
      <c r="A48" s="28"/>
      <c r="B48" s="29"/>
      <c r="C48" s="28"/>
      <c r="D48" s="58"/>
      <c r="E48" s="28"/>
      <c r="F48" s="30"/>
      <c r="G48" s="58"/>
      <c r="H48" s="28"/>
      <c r="I48" s="30"/>
    </row>
    <row r="49" spans="1:9" x14ac:dyDescent="0.3">
      <c r="A49" s="28"/>
      <c r="B49" s="29"/>
      <c r="C49" s="28"/>
      <c r="D49" s="58"/>
      <c r="E49" s="28"/>
      <c r="F49" s="30"/>
      <c r="G49" s="58"/>
      <c r="H49" s="28"/>
      <c r="I49" s="30"/>
    </row>
    <row r="50" spans="1:9" x14ac:dyDescent="0.3">
      <c r="A50" s="28"/>
      <c r="B50" s="29"/>
      <c r="C50" s="28"/>
      <c r="D50" s="58"/>
      <c r="E50" s="28"/>
      <c r="F50" s="30"/>
      <c r="G50" s="58"/>
      <c r="H50" s="28"/>
      <c r="I50" s="30"/>
    </row>
    <row r="51" spans="1:9" x14ac:dyDescent="0.3">
      <c r="A51" s="28"/>
      <c r="B51" s="29"/>
      <c r="C51" s="28"/>
      <c r="D51" s="58"/>
      <c r="E51" s="28"/>
      <c r="F51" s="30"/>
      <c r="G51" s="58"/>
      <c r="H51" s="28"/>
      <c r="I51" s="30"/>
    </row>
    <row r="52" spans="1:9" x14ac:dyDescent="0.3">
      <c r="A52" s="28"/>
      <c r="B52" s="29"/>
      <c r="C52" s="28"/>
      <c r="D52" s="58"/>
      <c r="E52" s="28"/>
      <c r="F52" s="30"/>
      <c r="G52" s="58"/>
      <c r="H52" s="28"/>
      <c r="I52" s="30"/>
    </row>
    <row r="53" spans="1:9" x14ac:dyDescent="0.3">
      <c r="A53" s="28"/>
      <c r="B53" s="29"/>
      <c r="C53" s="28"/>
      <c r="D53" s="58"/>
      <c r="E53" s="28"/>
      <c r="F53" s="30"/>
      <c r="G53" s="58"/>
      <c r="H53" s="28"/>
      <c r="I53" s="30"/>
    </row>
    <row r="54" spans="1:9" x14ac:dyDescent="0.3">
      <c r="A54" s="28"/>
      <c r="B54" s="29"/>
      <c r="C54" s="28"/>
      <c r="D54" s="58"/>
      <c r="E54" s="28"/>
      <c r="F54" s="30"/>
      <c r="G54" s="58"/>
      <c r="H54" s="28"/>
      <c r="I54" s="30"/>
    </row>
    <row r="55" spans="1:9" x14ac:dyDescent="0.3">
      <c r="A55" s="28"/>
      <c r="B55" s="29"/>
      <c r="C55" s="28"/>
      <c r="D55" s="58"/>
      <c r="E55" s="28"/>
      <c r="F55" s="30"/>
      <c r="G55" s="58"/>
      <c r="H55" s="28"/>
      <c r="I55" s="30"/>
    </row>
    <row r="56" spans="1:9" x14ac:dyDescent="0.3">
      <c r="A56" s="28"/>
      <c r="B56" s="29"/>
      <c r="C56" s="28"/>
      <c r="D56" s="58"/>
      <c r="E56" s="28"/>
      <c r="F56" s="30"/>
      <c r="G56" s="58"/>
      <c r="H56" s="28"/>
      <c r="I56" s="30"/>
    </row>
    <row r="57" spans="1:9" x14ac:dyDescent="0.3">
      <c r="A57" s="28"/>
      <c r="B57" s="29"/>
      <c r="C57" s="28"/>
      <c r="D57" s="58"/>
      <c r="E57" s="28"/>
      <c r="F57" s="30"/>
      <c r="G57" s="58"/>
      <c r="H57" s="28"/>
      <c r="I57" s="30"/>
    </row>
    <row r="58" spans="1:9" x14ac:dyDescent="0.3">
      <c r="A58" s="28"/>
      <c r="B58" s="29"/>
      <c r="C58" s="28"/>
      <c r="D58" s="58"/>
      <c r="E58" s="28"/>
      <c r="F58" s="30"/>
      <c r="G58" s="58"/>
      <c r="H58" s="28"/>
      <c r="I58" s="30"/>
    </row>
    <row r="59" spans="1:9" x14ac:dyDescent="0.3">
      <c r="A59" s="28"/>
      <c r="B59" s="29"/>
      <c r="C59" s="28"/>
      <c r="D59" s="58"/>
      <c r="E59" s="28"/>
      <c r="F59" s="30"/>
      <c r="G59" s="58"/>
      <c r="H59" s="28"/>
      <c r="I59" s="30"/>
    </row>
    <row r="60" spans="1:9" x14ac:dyDescent="0.3">
      <c r="A60" s="28"/>
      <c r="B60" s="29"/>
      <c r="C60" s="28"/>
      <c r="D60" s="58"/>
      <c r="E60" s="28"/>
      <c r="F60" s="30"/>
      <c r="G60" s="58"/>
      <c r="H60" s="28"/>
      <c r="I60" s="30"/>
    </row>
    <row r="61" spans="1:9" x14ac:dyDescent="0.3">
      <c r="A61" s="28"/>
      <c r="B61" s="29"/>
      <c r="C61" s="28"/>
      <c r="D61" s="58"/>
      <c r="E61" s="28"/>
      <c r="F61" s="30"/>
      <c r="G61" s="58"/>
      <c r="H61" s="28"/>
      <c r="I61" s="30"/>
    </row>
    <row r="62" spans="1:9" x14ac:dyDescent="0.3">
      <c r="A62" s="28"/>
      <c r="B62" s="29"/>
      <c r="C62" s="28"/>
      <c r="D62" s="58"/>
      <c r="E62" s="28"/>
      <c r="F62" s="30"/>
      <c r="G62" s="58"/>
      <c r="H62" s="28"/>
      <c r="I62" s="30"/>
    </row>
    <row r="63" spans="1:9" x14ac:dyDescent="0.3">
      <c r="A63" s="28"/>
      <c r="B63" s="29"/>
      <c r="C63" s="28"/>
      <c r="D63" s="58"/>
      <c r="E63" s="28"/>
      <c r="F63" s="30"/>
      <c r="G63" s="58"/>
      <c r="H63" s="28"/>
      <c r="I63" s="30"/>
    </row>
    <row r="64" spans="1:9" x14ac:dyDescent="0.3">
      <c r="A64" s="28"/>
      <c r="B64" s="29"/>
      <c r="C64" s="28"/>
      <c r="D64" s="58"/>
      <c r="E64" s="28"/>
      <c r="F64" s="30"/>
      <c r="G64" s="58"/>
      <c r="H64" s="28"/>
      <c r="I64" s="30"/>
    </row>
    <row r="65" spans="1:9" x14ac:dyDescent="0.3">
      <c r="A65" s="28"/>
      <c r="B65" s="29"/>
      <c r="C65" s="28"/>
      <c r="D65" s="58"/>
      <c r="E65" s="28"/>
      <c r="F65" s="30"/>
      <c r="G65" s="58"/>
      <c r="H65" s="28"/>
      <c r="I65" s="30"/>
    </row>
    <row r="66" spans="1:9" x14ac:dyDescent="0.3">
      <c r="A66" s="28"/>
      <c r="B66" s="29"/>
      <c r="C66" s="28"/>
      <c r="D66" s="58"/>
      <c r="E66" s="28"/>
      <c r="F66" s="30"/>
      <c r="G66" s="58"/>
      <c r="H66" s="28"/>
      <c r="I66" s="30"/>
    </row>
    <row r="67" spans="1:9" x14ac:dyDescent="0.3">
      <c r="A67" s="28"/>
      <c r="B67" s="29"/>
      <c r="C67" s="28"/>
      <c r="D67" s="58"/>
      <c r="E67" s="28"/>
      <c r="F67" s="30"/>
      <c r="G67" s="58"/>
      <c r="H67" s="28"/>
      <c r="I67" s="30"/>
    </row>
    <row r="68" spans="1:9" x14ac:dyDescent="0.3">
      <c r="A68" s="28"/>
      <c r="B68" s="29"/>
      <c r="C68" s="28"/>
      <c r="D68" s="58"/>
      <c r="E68" s="28"/>
      <c r="F68" s="30"/>
      <c r="G68" s="58"/>
      <c r="H68" s="28"/>
      <c r="I68" s="30"/>
    </row>
    <row r="69" spans="1:9" x14ac:dyDescent="0.3">
      <c r="A69" s="28"/>
      <c r="B69" s="29"/>
      <c r="C69" s="28"/>
      <c r="D69" s="58"/>
      <c r="E69" s="28"/>
      <c r="F69" s="30"/>
      <c r="G69" s="58"/>
      <c r="H69" s="28"/>
      <c r="I69" s="30"/>
    </row>
    <row r="70" spans="1:9" x14ac:dyDescent="0.3">
      <c r="A70" s="28"/>
      <c r="B70" s="29"/>
      <c r="C70" s="28"/>
      <c r="D70" s="58"/>
      <c r="E70" s="28"/>
      <c r="F70" s="30"/>
      <c r="G70" s="58"/>
      <c r="H70" s="28"/>
      <c r="I70" s="30"/>
    </row>
    <row r="71" spans="1:9" x14ac:dyDescent="0.3">
      <c r="A71" s="28"/>
      <c r="B71" s="29"/>
      <c r="C71" s="28"/>
      <c r="D71" s="58"/>
      <c r="E71" s="28"/>
      <c r="F71" s="30"/>
      <c r="G71" s="58"/>
      <c r="H71" s="28"/>
      <c r="I71" s="30"/>
    </row>
    <row r="72" spans="1:9" x14ac:dyDescent="0.3">
      <c r="A72" s="28"/>
      <c r="B72" s="29"/>
      <c r="C72" s="28"/>
      <c r="D72" s="58"/>
      <c r="E72" s="28"/>
      <c r="F72" s="30"/>
      <c r="G72" s="58"/>
      <c r="H72" s="28"/>
      <c r="I72" s="30"/>
    </row>
    <row r="73" spans="1:9" x14ac:dyDescent="0.3">
      <c r="A73" s="28"/>
      <c r="B73" s="29"/>
      <c r="C73" s="28"/>
      <c r="D73" s="58"/>
      <c r="E73" s="28"/>
      <c r="F73" s="30"/>
      <c r="G73" s="58"/>
      <c r="H73" s="28"/>
      <c r="I73" s="30"/>
    </row>
    <row r="74" spans="1:9" x14ac:dyDescent="0.3">
      <c r="A74" s="28"/>
      <c r="B74" s="29"/>
      <c r="C74" s="28"/>
      <c r="D74" s="58"/>
      <c r="E74" s="28"/>
      <c r="F74" s="30"/>
      <c r="G74" s="58"/>
      <c r="H74" s="28"/>
      <c r="I74" s="30"/>
    </row>
    <row r="75" spans="1:9" x14ac:dyDescent="0.3">
      <c r="A75" s="28"/>
      <c r="B75" s="29"/>
      <c r="C75" s="28"/>
      <c r="D75" s="58"/>
      <c r="E75" s="28"/>
      <c r="F75" s="30"/>
      <c r="G75" s="58"/>
      <c r="H75" s="28"/>
      <c r="I75" s="30"/>
    </row>
    <row r="76" spans="1:9" x14ac:dyDescent="0.3">
      <c r="A76" s="28"/>
      <c r="B76" s="29"/>
      <c r="C76" s="28"/>
      <c r="D76" s="58"/>
      <c r="E76" s="28"/>
      <c r="F76" s="30"/>
      <c r="G76" s="58"/>
      <c r="H76" s="28"/>
      <c r="I76" s="30"/>
    </row>
    <row r="77" spans="1:9" x14ac:dyDescent="0.3">
      <c r="A77" s="28"/>
      <c r="B77" s="29"/>
      <c r="C77" s="28"/>
      <c r="D77" s="58"/>
      <c r="E77" s="28"/>
      <c r="F77" s="30"/>
      <c r="G77" s="58"/>
      <c r="H77" s="28"/>
      <c r="I77" s="30"/>
    </row>
    <row r="78" spans="1:9" x14ac:dyDescent="0.3">
      <c r="A78" s="28"/>
      <c r="B78" s="29"/>
      <c r="C78" s="28"/>
      <c r="D78" s="58"/>
      <c r="E78" s="28"/>
      <c r="F78" s="30"/>
      <c r="G78" s="58"/>
      <c r="H78" s="28"/>
      <c r="I78" s="30"/>
    </row>
    <row r="79" spans="1:9" x14ac:dyDescent="0.3">
      <c r="A79" s="28"/>
      <c r="B79" s="29"/>
      <c r="C79" s="28"/>
      <c r="D79" s="58"/>
      <c r="E79" s="28"/>
      <c r="F79" s="30"/>
      <c r="G79" s="58"/>
      <c r="H79" s="28"/>
      <c r="I79" s="30"/>
    </row>
    <row r="80" spans="1:9" x14ac:dyDescent="0.3">
      <c r="A80" s="28"/>
      <c r="B80" s="29"/>
      <c r="C80" s="28"/>
      <c r="D80" s="58"/>
      <c r="E80" s="28"/>
      <c r="F80" s="30"/>
      <c r="G80" s="58"/>
      <c r="H80" s="28"/>
      <c r="I80" s="30"/>
    </row>
    <row r="81" spans="1:9" x14ac:dyDescent="0.3">
      <c r="A81" s="28"/>
      <c r="B81" s="29"/>
      <c r="C81" s="28"/>
      <c r="D81" s="58"/>
      <c r="E81" s="28"/>
      <c r="F81" s="30"/>
      <c r="G81" s="58"/>
      <c r="H81" s="28"/>
      <c r="I81" s="30"/>
    </row>
    <row r="82" spans="1:9" x14ac:dyDescent="0.3">
      <c r="A82" s="28"/>
      <c r="B82" s="29"/>
      <c r="C82" s="28"/>
      <c r="D82" s="58"/>
      <c r="E82" s="28"/>
      <c r="F82" s="30"/>
      <c r="G82" s="58"/>
      <c r="H82" s="28"/>
      <c r="I82" s="30"/>
    </row>
    <row r="83" spans="1:9" x14ac:dyDescent="0.3">
      <c r="A83" s="28"/>
      <c r="B83" s="29"/>
      <c r="C83" s="28"/>
      <c r="D83" s="58"/>
      <c r="E83" s="28"/>
      <c r="F83" s="30"/>
      <c r="G83" s="58"/>
      <c r="H83" s="28"/>
      <c r="I83" s="30"/>
    </row>
    <row r="84" spans="1:9" x14ac:dyDescent="0.3">
      <c r="A84" s="28"/>
      <c r="B84" s="29"/>
      <c r="C84" s="28"/>
      <c r="D84" s="58"/>
      <c r="E84" s="28"/>
      <c r="F84" s="30"/>
      <c r="G84" s="58"/>
      <c r="H84" s="28"/>
      <c r="I84" s="30"/>
    </row>
    <row r="85" spans="1:9" x14ac:dyDescent="0.3">
      <c r="A85" s="28"/>
      <c r="B85" s="29"/>
      <c r="C85" s="28"/>
      <c r="D85" s="58"/>
      <c r="E85" s="28"/>
      <c r="F85" s="30"/>
      <c r="G85" s="58"/>
      <c r="H85" s="28"/>
      <c r="I85" s="30"/>
    </row>
    <row r="86" spans="1:9" x14ac:dyDescent="0.3">
      <c r="A86" s="28"/>
      <c r="B86" s="29"/>
      <c r="C86" s="28"/>
      <c r="D86" s="58"/>
      <c r="E86" s="28"/>
      <c r="F86" s="30"/>
      <c r="G86" s="58"/>
      <c r="H86" s="28"/>
      <c r="I86" s="30"/>
    </row>
    <row r="87" spans="1:9" x14ac:dyDescent="0.3">
      <c r="A87" s="28"/>
      <c r="B87" s="29"/>
      <c r="C87" s="28"/>
      <c r="D87" s="58"/>
      <c r="E87" s="28"/>
      <c r="F87" s="30"/>
      <c r="G87" s="58"/>
      <c r="H87" s="28"/>
      <c r="I87" s="30"/>
    </row>
    <row r="88" spans="1:9" x14ac:dyDescent="0.3">
      <c r="A88" s="28"/>
      <c r="B88" s="29"/>
      <c r="C88" s="28"/>
      <c r="D88" s="58"/>
      <c r="E88" s="28"/>
      <c r="F88" s="30"/>
      <c r="G88" s="58"/>
      <c r="H88" s="28"/>
      <c r="I88" s="30"/>
    </row>
    <row r="89" spans="1:9" x14ac:dyDescent="0.3">
      <c r="A89" s="28"/>
      <c r="B89" s="29"/>
      <c r="C89" s="28"/>
      <c r="D89" s="58"/>
      <c r="E89" s="28"/>
      <c r="F89" s="30"/>
      <c r="G89" s="58"/>
      <c r="H89" s="28"/>
      <c r="I89" s="30"/>
    </row>
    <row r="90" spans="1:9" x14ac:dyDescent="0.3">
      <c r="A90" s="28"/>
      <c r="B90" s="29"/>
      <c r="C90" s="28"/>
      <c r="D90" s="58"/>
      <c r="E90" s="28"/>
      <c r="F90" s="30"/>
      <c r="G90" s="58"/>
      <c r="H90" s="28"/>
      <c r="I90" s="30"/>
    </row>
    <row r="91" spans="1:9" x14ac:dyDescent="0.3">
      <c r="A91" s="28"/>
      <c r="B91" s="29"/>
      <c r="C91" s="28"/>
      <c r="D91" s="58"/>
      <c r="E91" s="28"/>
      <c r="F91" s="30"/>
      <c r="G91" s="58"/>
      <c r="H91" s="28"/>
      <c r="I91" s="30"/>
    </row>
    <row r="92" spans="1:9" x14ac:dyDescent="0.3">
      <c r="A92" s="28"/>
      <c r="B92" s="29"/>
      <c r="C92" s="28"/>
      <c r="D92" s="58"/>
      <c r="E92" s="28"/>
      <c r="F92" s="30"/>
      <c r="G92" s="58"/>
      <c r="H92" s="28"/>
      <c r="I92" s="30"/>
    </row>
    <row r="93" spans="1:9" x14ac:dyDescent="0.3">
      <c r="A93" s="28"/>
      <c r="B93" s="29"/>
      <c r="C93" s="28"/>
      <c r="D93" s="58"/>
      <c r="E93" s="28"/>
      <c r="F93" s="30"/>
      <c r="G93" s="58"/>
      <c r="H93" s="28"/>
      <c r="I93" s="30"/>
    </row>
    <row r="94" spans="1:9" x14ac:dyDescent="0.3">
      <c r="A94" s="28"/>
      <c r="B94" s="29"/>
      <c r="C94" s="28"/>
      <c r="D94" s="58"/>
      <c r="E94" s="28"/>
      <c r="F94" s="30"/>
      <c r="G94" s="58"/>
      <c r="H94" s="28"/>
      <c r="I94" s="30"/>
    </row>
    <row r="95" spans="1:9" x14ac:dyDescent="0.3">
      <c r="A95" s="28"/>
      <c r="B95" s="29"/>
      <c r="C95" s="28"/>
      <c r="D95" s="58"/>
      <c r="E95" s="28"/>
      <c r="F95" s="30"/>
      <c r="G95" s="58"/>
      <c r="H95" s="28"/>
      <c r="I95" s="30"/>
    </row>
    <row r="96" spans="1:9" x14ac:dyDescent="0.3">
      <c r="A96" s="28"/>
      <c r="B96" s="29"/>
      <c r="C96" s="28"/>
      <c r="D96" s="58"/>
      <c r="E96" s="28"/>
      <c r="F96" s="30"/>
      <c r="G96" s="58"/>
      <c r="H96" s="28"/>
      <c r="I96" s="30"/>
    </row>
    <row r="97" spans="1:9" x14ac:dyDescent="0.3">
      <c r="A97" s="28"/>
      <c r="B97" s="29"/>
      <c r="C97" s="28"/>
      <c r="D97" s="58"/>
      <c r="E97" s="28"/>
      <c r="F97" s="30"/>
      <c r="G97" s="58"/>
      <c r="H97" s="28"/>
      <c r="I97" s="30"/>
    </row>
    <row r="98" spans="1:9" x14ac:dyDescent="0.3">
      <c r="A98" s="28"/>
      <c r="B98" s="29"/>
      <c r="C98" s="28"/>
      <c r="D98" s="58"/>
      <c r="E98" s="28"/>
      <c r="F98" s="30"/>
      <c r="G98" s="58"/>
      <c r="H98" s="28"/>
      <c r="I98" s="30"/>
    </row>
    <row r="99" spans="1:9" x14ac:dyDescent="0.3">
      <c r="A99" s="28"/>
      <c r="B99" s="29"/>
      <c r="C99" s="28"/>
      <c r="D99" s="58"/>
      <c r="E99" s="28"/>
      <c r="F99" s="30"/>
      <c r="G99" s="58"/>
      <c r="H99" s="28"/>
      <c r="I99" s="30"/>
    </row>
    <row r="100" spans="1:9" x14ac:dyDescent="0.3">
      <c r="A100" s="28"/>
      <c r="B100" s="29"/>
      <c r="C100" s="28"/>
      <c r="D100" s="58"/>
      <c r="E100" s="28"/>
      <c r="F100" s="30"/>
      <c r="G100" s="58"/>
      <c r="H100" s="28"/>
      <c r="I100" s="30"/>
    </row>
    <row r="101" spans="1:9" x14ac:dyDescent="0.3">
      <c r="A101" s="28"/>
      <c r="B101" s="29"/>
      <c r="C101" s="28"/>
      <c r="D101" s="58"/>
      <c r="E101" s="28"/>
      <c r="F101" s="30"/>
      <c r="G101" s="58"/>
      <c r="H101" s="28"/>
      <c r="I101" s="30"/>
    </row>
    <row r="102" spans="1:9" x14ac:dyDescent="0.3">
      <c r="A102" s="28"/>
      <c r="B102" s="29"/>
      <c r="C102" s="28"/>
      <c r="D102" s="58"/>
      <c r="E102" s="28"/>
      <c r="F102" s="30"/>
      <c r="G102" s="58"/>
      <c r="H102" s="28"/>
      <c r="I102" s="30"/>
    </row>
    <row r="103" spans="1:9" x14ac:dyDescent="0.3">
      <c r="A103" s="28"/>
      <c r="B103" s="29"/>
      <c r="C103" s="28"/>
      <c r="D103" s="58"/>
      <c r="E103" s="28"/>
      <c r="F103" s="30"/>
      <c r="G103" s="58"/>
      <c r="H103" s="28"/>
      <c r="I103" s="30"/>
    </row>
    <row r="104" spans="1:9" x14ac:dyDescent="0.3">
      <c r="A104" s="28"/>
      <c r="B104" s="29"/>
      <c r="C104" s="28"/>
      <c r="D104" s="58"/>
      <c r="E104" s="28"/>
      <c r="F104" s="30"/>
      <c r="G104" s="58"/>
      <c r="H104" s="28"/>
      <c r="I104" s="30"/>
    </row>
    <row r="105" spans="1:9" x14ac:dyDescent="0.3">
      <c r="A105" s="28"/>
      <c r="B105" s="29"/>
      <c r="C105" s="28"/>
      <c r="D105" s="58"/>
      <c r="E105" s="28"/>
      <c r="F105" s="30"/>
      <c r="G105" s="58"/>
      <c r="H105" s="28"/>
      <c r="I105" s="30"/>
    </row>
    <row r="106" spans="1:9" x14ac:dyDescent="0.3">
      <c r="A106" s="28"/>
      <c r="B106" s="29"/>
      <c r="C106" s="28"/>
      <c r="D106" s="58"/>
      <c r="E106" s="28"/>
      <c r="F106" s="30"/>
      <c r="G106" s="58"/>
      <c r="H106" s="28"/>
      <c r="I106" s="30"/>
    </row>
    <row r="107" spans="1:9" x14ac:dyDescent="0.3">
      <c r="A107" s="28"/>
      <c r="B107" s="29"/>
      <c r="C107" s="28"/>
      <c r="D107" s="58"/>
      <c r="E107" s="28"/>
      <c r="F107" s="30"/>
      <c r="G107" s="58"/>
      <c r="H107" s="28"/>
      <c r="I107" s="30"/>
    </row>
    <row r="108" spans="1:9" x14ac:dyDescent="0.3">
      <c r="A108" s="28"/>
      <c r="B108" s="29"/>
      <c r="C108" s="28"/>
      <c r="D108" s="58"/>
      <c r="E108" s="28"/>
      <c r="F108" s="30"/>
      <c r="G108" s="58"/>
      <c r="H108" s="28"/>
      <c r="I108" s="30"/>
    </row>
    <row r="109" spans="1:9" x14ac:dyDescent="0.3">
      <c r="A109" s="28"/>
      <c r="B109" s="29"/>
      <c r="C109" s="28"/>
      <c r="D109" s="58"/>
      <c r="E109" s="28"/>
      <c r="F109" s="30"/>
      <c r="G109" s="58"/>
      <c r="H109" s="28"/>
      <c r="I109" s="30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</sheetData>
  <sheetProtection selectLockedCells="1"/>
  <protectedRanges>
    <protectedRange sqref="D2:D3 G2:G3" name="Rango1_1"/>
  </protectedRanges>
  <autoFilter ref="A1:I10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2025-11-25T21:54:03Z</cp:lastPrinted>
  <dcterms:created xsi:type="dcterms:W3CDTF">2024-08-29T16:28:19Z</dcterms:created>
  <dcterms:modified xsi:type="dcterms:W3CDTF">2025-11-25T21:56:57Z</dcterms:modified>
  <cp:category/>
  <cp:contentStatus/>
</cp:coreProperties>
</file>